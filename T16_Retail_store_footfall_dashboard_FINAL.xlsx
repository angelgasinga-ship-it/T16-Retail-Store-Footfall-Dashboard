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130" windowHeight="7500" tabRatio="500" activeTab="4"/>
  </bookViews>
  <sheets>
    <sheet name="Task Brief" sheetId="1" r:id="rId1"/>
    <sheet name="Store Daily" sheetId="2" r:id="rId2"/>
    <sheet name="Data Dictionary" sheetId="3" r:id="rId3"/>
    <sheet name="AI Use Log" sheetId="4" r:id="rId4"/>
    <sheet name="KPI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<sst xmlns="http://schemas.openxmlformats.org/spreadsheetml/2006/main" count="7491" uniqueCount="207">
  <si>
    <t>T16  Retail store footfall dashboard</t>
  </si>
  <si>
    <t>Mini project | 30 marks | Build something with free LLM tools</t>
  </si>
  <si>
    <t>Task ID</t>
  </si>
  <si>
    <t>T16</t>
  </si>
  <si>
    <t>Task</t>
  </si>
  <si>
    <t>Retail store footfall dashboard</t>
  </si>
  <si>
    <t>Theme</t>
  </si>
  <si>
    <t>No-code apps &amp; dashboards</t>
  </si>
  <si>
    <t>Suggested free tools</t>
  </si>
  <si>
    <t>Gemini Canvas, ChatGPT Canvas or Claude (free) to generate the app; Excel / Google Sheets to verify numbers</t>
  </si>
  <si>
    <t>What students do</t>
  </si>
  <si>
    <t>1. Build a dashboard of footfall, conversion, average bill and sales per staff by store.
2. Compare weekdays vs weekends and promotion days.
3. Find under-staffed and over-staffed stores.
4. Recommend staffing changes.</t>
  </si>
  <si>
    <t>Deliverables</t>
  </si>
  <si>
    <t>Dashboard; staffing analysis; recommendation; AI-use log</t>
  </si>
  <si>
    <t>Dataset in this file</t>
  </si>
  <si>
    <t>10 stores x 180 days of footfall, transactions, sales and staffing
- 'Store Daily' sheet: 1,800 rows x 9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</si>
  <si>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</si>
  <si>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</si>
  <si>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</si>
  <si>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</si>
  <si>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</si>
  <si>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</si>
  <si>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</si>
  <si>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</si>
  <si>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</si>
  <si>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</si>
  <si>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</si>
  <si>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</si>
  <si>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</si>
  <si>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</si>
  <si>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</si>
  <si>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</si>
  <si>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</si>
  <si>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</si>
  <si>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</si>
  <si>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</si>
  <si>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</si>
  <si>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</si>
  <si>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</si>
  <si>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</si>
  <si>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</si>
  <si>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</si>
  <si>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</si>
  <si>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</si>
  <si>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</si>
  <si>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</si>
  <si>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</si>
  <si>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</si>
  <si>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</si>
  <si>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</si>
  <si>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</si>
  <si>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</si>
  <si>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</si>
  <si>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</si>
  <si>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</si>
  <si>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</si>
  <si>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</si>
  <si>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</si>
  <si>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</si>
  <si>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</si>
  <si>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</si>
  <si>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</si>
  <si>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date</t>
  </si>
  <si>
    <t>store_id</t>
  </si>
  <si>
    <t>store_name</t>
  </si>
  <si>
    <t>city_tier</t>
  </si>
  <si>
    <t>footfall</t>
  </si>
  <si>
    <t>transactions</t>
  </si>
  <si>
    <t>sales_inr</t>
  </si>
  <si>
    <t>staff_on_floor</t>
  </si>
  <si>
    <t>promotion_day</t>
  </si>
  <si>
    <t>Conversion Rate</t>
  </si>
  <si>
    <t>Average Bill</t>
  </si>
  <si>
    <t>Sales per Staff</t>
  </si>
  <si>
    <t>Footfall per Staff</t>
  </si>
  <si>
    <t>Day Type</t>
  </si>
  <si>
    <t>ST01</t>
  </si>
  <si>
    <t>Pune - Phoenix Mall</t>
  </si>
  <si>
    <t>No</t>
  </si>
  <si>
    <t>Weekday</t>
  </si>
  <si>
    <t>Weekend</t>
  </si>
  <si>
    <t>Yes</t>
  </si>
  <si>
    <t>ST02</t>
  </si>
  <si>
    <t>Pune - FC Road</t>
  </si>
  <si>
    <t>ST03</t>
  </si>
  <si>
    <t>Nashik - City Centre</t>
  </si>
  <si>
    <t>ST04</t>
  </si>
  <si>
    <t>Mumbai - Andheri</t>
  </si>
  <si>
    <t>ST05</t>
  </si>
  <si>
    <t>Indore - Treasure Island</t>
  </si>
  <si>
    <t>ST06</t>
  </si>
  <si>
    <t>Nagpur - Sitabuldi</t>
  </si>
  <si>
    <t>ST07</t>
  </si>
  <si>
    <t>Surat - VR Mall</t>
  </si>
  <si>
    <t>ST08</t>
  </si>
  <si>
    <t>Aurangabad - Prozone</t>
  </si>
  <si>
    <t>ST09</t>
  </si>
  <si>
    <t>Kolhapur - Rajarampuri</t>
  </si>
  <si>
    <t>ST10</t>
  </si>
  <si>
    <t>Thane - Viviana</t>
  </si>
  <si>
    <t>sheet</t>
  </si>
  <si>
    <t>column</t>
  </si>
  <si>
    <t>data_type</t>
  </si>
  <si>
    <t>example_value</t>
  </si>
  <si>
    <t>non_empty_values</t>
  </si>
  <si>
    <t>distinct_values</t>
  </si>
  <si>
    <t>Store Daily</t>
  </si>
  <si>
    <t>Date/time</t>
  </si>
  <si>
    <t>2025-04-01</t>
  </si>
  <si>
    <t>Text</t>
  </si>
  <si>
    <t>Whole number</t>
  </si>
  <si>
    <t>1</t>
  </si>
  <si>
    <t>909</t>
  </si>
  <si>
    <t>167</t>
  </si>
  <si>
    <t>Decimal number</t>
  </si>
  <si>
    <t>232202.0</t>
  </si>
  <si>
    <t>5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</si>
  <si>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</si>
  <si>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</si>
  <si>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</si>
  <si>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</si>
  <si>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</si>
  <si>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</si>
  <si>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</si>
  <si>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</si>
  <si>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</si>
  <si>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</si>
  <si>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</si>
  <si>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Gemini (free)</t>
  </si>
  <si>
    <t>Gemini app, default</t>
  </si>
  <si>
    <t>-</t>
  </si>
  <si>
    <t>You are a business analyst. Using the attached sheet for 'Retail store footfall dashboard', list the first 3 steps to build it and what could go wrong.</t>
  </si>
  <si>
    <t>Clear steps, but assumed a column that does not exist</t>
  </si>
  <si>
    <t>Told it the exact column names and asked it to recheck</t>
  </si>
  <si>
    <t>Rejected</t>
  </si>
  <si>
    <t>screenshot_01.png</t>
  </si>
  <si>
    <t>ChatGPT</t>
  </si>
  <si>
    <t>GPT-5.6</t>
  </si>
  <si>
    <t>Default chat; attached T16 assignment and dataset</t>
  </si>
  <si>
    <t>For T16, identify the key KPIs and analyses required for a Retail Store Footfall Dashboard based on the assignment requirements and the available dataset.</t>
  </si>
  <si>
    <t>It identified the main KPIs such as footfall, conversion rate, average bill, sales per staff, and staffing analysis</t>
  </si>
  <si>
    <t>I checked the suggested KPIs against the actual dataset columns and kept only measures that could be calculated from the available data.</t>
  </si>
  <si>
    <t>Kept</t>
  </si>
  <si>
    <t>T16_Retail_store_footfall_dashboard_prepared.xlsx</t>
  </si>
  <si>
    <t>Voici mon fichier complet, donc je n’ai pas compris ce que tu viens d’écrire</t>
  </si>
  <si>
    <t>It clarified the structure of the complete T16 workbook and explained which sheets were relevant for the analysis</t>
  </si>
  <si>
    <t>I used the prepared workbook and kept the original data structure while adding the required KPI calculations.</t>
  </si>
  <si>
    <t>T16_Retail_store_footfall_dashboard.xlsx</t>
  </si>
  <si>
    <t>donc je remplir le tableau excel?</t>
  </si>
  <si>
    <t>It explained how to fill the AI Use Log table and what information should be entered in each column.</t>
  </si>
  <si>
    <t>I followed the suggested structure and started filling the AI Use Log from row #2 without changing the professor's example.</t>
  </si>
  <si>
    <t>Check the T16 dataset structure and identify any missing calculations needed for the dashboard</t>
  </si>
  <si>
    <t>It helped identify the available fields and the calculations needed for the dashboard.</t>
  </si>
  <si>
    <t>I checked the suggested calculations against the dataset and kept only the calculations supported by the available fields.</t>
  </si>
  <si>
    <t>How should I calculate the Conversion Rate for the T16 dashboard using the available columns?</t>
  </si>
  <si>
    <t xml:space="preserve">It helped explain how the dashboard KPIs could be calculated from the available data
</t>
  </si>
  <si>
    <t>I checked the calculations against the dataset and kept the formulas that matched the</t>
  </si>
  <si>
    <t>How should I calculate the Average Bill for the T16 dashboard using the available columns?</t>
  </si>
  <si>
    <t>It helped identify the main calculations needed for the dashboard, including footfall, conversion rate and sales-related KPIs</t>
  </si>
  <si>
    <t>I checked the calculations against the dataset and used the available columns to build the required KPIs.</t>
  </si>
  <si>
    <t>How should I calculate Sales per Staff for the T16 dashboard using the available columns?</t>
  </si>
  <si>
    <t>It helped me understand how to compare store performance using average footfall and sales.</t>
  </si>
  <si>
    <t>I created store-level visuals in Power BI to compare the stores</t>
  </si>
  <si>
    <t>How can I compare average footfall and sales across the 10 stores in the T16 dashboard?</t>
  </si>
  <si>
    <t>It helped compare weekday and weekend footfall and identify differences in customer traffic.</t>
  </si>
  <si>
    <t>I created a Weekday vs Weekend comparison in the Power BI dashboard.</t>
  </si>
  <si>
    <t>How can I compare weekday and weekend footfall in the T16 dashboard?</t>
  </si>
  <si>
    <t>It helped analyze promotion days versus normal days and identify differences in footfall and sales</t>
  </si>
  <si>
    <t>I created a Promotion vs Normal Days comparison in the Power BI dashboard.</t>
  </si>
  <si>
    <t>How can I compare promotion days with normal days in the T16 dashboard?</t>
  </si>
  <si>
    <t>It helped define a staffing analysis using footfall per staff as an indicator of workload.</t>
  </si>
  <si>
    <t>I compared footfall per staff across stores and used a median-based rule to identify potentially under-staffed and over-staffed stores.</t>
  </si>
  <si>
    <t>Default chat; Power BI dashboard</t>
  </si>
  <si>
    <t>How can I identify potentially under-staffed and over-staffed stores using footfall per staff?</t>
  </si>
  <si>
    <t>It guided me in building the required dashboard visuals and organizing the KPI cards and charts.</t>
  </si>
  <si>
    <t>I created the KPI cards, slicer and comparison charts in Power BI and checked that the visuals used the correct fields.</t>
  </si>
  <si>
    <t>How should I build the T16 Retail Store Footfall Dashboard in Power BI using the prepared dataset?</t>
  </si>
  <si>
    <t>It identified that conversion rate and average bill should not be summed or averaged as row-level values for the overall KPI.</t>
  </si>
  <si>
    <t>I created DAX measures using total transactions divided by total footfall, and total sales divided by total transactions.</t>
  </si>
  <si>
    <t>How can I fix the staffing status calculation so that each store has one consistent staffing status?</t>
  </si>
  <si>
    <t>It helped correct the staffing analysis so that each store had one consistent staffing status</t>
  </si>
  <si>
    <t>I created a Store Staffing Summary table and used it to display the staffing status consistently by store</t>
  </si>
  <si>
    <t>How can I correct the Average Sales per Staff calculation and verify the results for all stores?</t>
  </si>
  <si>
    <t>It helped correct the Average Sales per Staff calculation and verify that the store-level values were different and meaningful.</t>
  </si>
  <si>
    <t>I corrected the DAX calculation and verified the resulting values for all stores.</t>
  </si>
  <si>
    <t>KPI</t>
  </si>
  <si>
    <t>Values</t>
  </si>
  <si>
    <t>Total Footfall</t>
  </si>
  <si>
    <t>Total Transactions</t>
  </si>
  <si>
    <t>Total Sales</t>
  </si>
  <si>
    <t>Overall Conversion Rate</t>
  </si>
  <si>
    <t>Overall Average Bill</t>
  </si>
  <si>
    <t>Average Staff on Floor</t>
  </si>
  <si>
    <t>METRIC</t>
  </si>
  <si>
    <t>WEEKDAY</t>
  </si>
  <si>
    <t>WEEKEND</t>
  </si>
  <si>
    <t>Average Footfall</t>
  </si>
  <si>
    <t>Average Transactions</t>
  </si>
  <si>
    <t>Average Sales</t>
  </si>
  <si>
    <t>Average Conversion Rate</t>
  </si>
  <si>
    <t>Normal Day</t>
  </si>
  <si>
    <t>Promotion Day</t>
  </si>
  <si>
    <t>STORE</t>
  </si>
  <si>
    <t>Avg Footfall</t>
  </si>
  <si>
    <t>Avg Staff</t>
  </si>
  <si>
    <t>Staffing Status</t>
  </si>
  <si>
    <t>Avg Sales per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</si>
</sst>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  <numFmt numFmtId="180" formatCode="#,##0.00_ "/>
    <numFmt numFmtId="181" formatCode="yyyy\-mm\-dd"/>
    <numFmt numFmtId="182" formatCode="yyyy\-mm\-dd\ hh:mm:ss"/>
  </numFmts>
  <fonts count="32">
    <font>
      <sz val="10"/>
      <name val="Arial"/>
      <charset val="1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i/>
      <sz val="10"/>
      <color rgb="FF666666"/>
      <name val="Arial"/>
      <charset val="1"/>
    </font>
    <font>
      <sz val="11"/>
      <color theme="1"/>
      <name val="Calibri"/>
      <charset val="1"/>
    </font>
    <font>
      <b/>
      <sz val="11"/>
      <name val="Calibri"/>
      <charset val="134"/>
      <scheme val="minor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2"/>
      <color rgb="FF1F4E5A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  <fill>
      <patternFill patternType="solid">
        <fgColor rgb="FFE8F1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/>
    <xf numFmtId="177" fontId="12" fillId="0" borderId="0"/>
    <xf numFmtId="9" fontId="12" fillId="0" borderId="0"/>
    <xf numFmtId="178" fontId="12" fillId="0" borderId="0"/>
    <xf numFmtId="179" fontId="12" fillId="0" borderId="0"/>
    <xf numFmtId="0" fontId="13" fillId="0" borderId="0">
      <alignment vertical="center"/>
    </xf>
    <xf numFmtId="0" fontId="14" fillId="0" borderId="0">
      <alignment vertical="center"/>
    </xf>
    <xf numFmtId="0" fontId="2" fillId="5" borderId="4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5">
      <alignment vertical="center"/>
    </xf>
    <xf numFmtId="0" fontId="19" fillId="0" borderId="5">
      <alignment vertical="center"/>
    </xf>
    <xf numFmtId="0" fontId="20" fillId="0" borderId="6">
      <alignment vertical="center"/>
    </xf>
    <xf numFmtId="0" fontId="20" fillId="0" borderId="0">
      <alignment vertical="center"/>
    </xf>
    <xf numFmtId="0" fontId="21" fillId="6" borderId="7">
      <alignment vertical="center"/>
    </xf>
    <xf numFmtId="0" fontId="22" fillId="7" borderId="8">
      <alignment vertical="center"/>
    </xf>
    <xf numFmtId="0" fontId="23" fillId="7" borderId="7">
      <alignment vertical="center"/>
    </xf>
    <xf numFmtId="0" fontId="24" fillId="8" borderId="9">
      <alignment vertical="center"/>
    </xf>
    <xf numFmtId="0" fontId="25" fillId="0" borderId="10">
      <alignment vertical="center"/>
    </xf>
    <xf numFmtId="0" fontId="26" fillId="0" borderId="11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0" fillId="35" borderId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1" fillId="0" borderId="1" xfId="0" applyFont="1" applyBorder="1"/>
    <xf numFmtId="0" fontId="2" fillId="0" borderId="1" xfId="0" applyFont="1" applyBorder="1"/>
    <xf numFmtId="180" fontId="2" fillId="0" borderId="1" xfId="0" applyNumberFormat="1" applyFont="1" applyBorder="1"/>
    <xf numFmtId="10" fontId="2" fillId="0" borderId="1" xfId="0" applyNumberFormat="1" applyFont="1" applyBorder="1"/>
    <xf numFmtId="0" fontId="1" fillId="0" borderId="2" xfId="0" applyFont="1" applyBorder="1"/>
    <xf numFmtId="0" fontId="2" fillId="0" borderId="2" xfId="0" applyFont="1" applyBorder="1"/>
    <xf numFmtId="180" fontId="2" fillId="0" borderId="2" xfId="0" applyNumberFormat="1" applyFont="1" applyBorder="1"/>
    <xf numFmtId="0" fontId="3" fillId="0" borderId="0" xfId="0" applyFont="1"/>
    <xf numFmtId="0" fontId="4" fillId="0" borderId="0" xfId="0" applyFont="1"/>
    <xf numFmtId="0" fontId="5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top" wrapText="1"/>
    </xf>
    <xf numFmtId="181" fontId="6" fillId="0" borderId="3" xfId="0" applyNumberFormat="1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181" fontId="7" fillId="3" borderId="3" xfId="0" applyNumberFormat="1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top"/>
    </xf>
    <xf numFmtId="182" fontId="2" fillId="0" borderId="0" xfId="0" applyNumberFormat="1" applyFont="1"/>
    <xf numFmtId="4" fontId="2" fillId="0" borderId="0" xfId="0" applyNumberFormat="1" applyFont="1"/>
    <xf numFmtId="0" fontId="9" fillId="0" borderId="0" xfId="0" applyFont="1"/>
    <xf numFmtId="0" fontId="10" fillId="0" borderId="0" xfId="0" applyFont="1"/>
    <xf numFmtId="0" fontId="3" fillId="4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E8F1F2"/>
      <rgbColor rgb="00660066"/>
      <rgbColor rgb="00FF8080"/>
      <rgbColor rgb="000066CC"/>
      <rgbColor rgb="00C9D3D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555555"/>
      <rgbColor rgb="00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11" workbookViewId="0">
      <selection activeCell="A1" sqref="A1"/>
    </sheetView>
  </sheetViews>
  <sheetFormatPr defaultColWidth="8.67619047619048" defaultRowHeight="12.75" outlineLevelCol="6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ht="18" customHeight="1" spans="1:2">
      <c r="A1" s="22" t="s">
        <v>0</v>
      </c>
    </row>
    <row r="2" spans="1:2">
      <c r="A2" s="23" t="s">
        <v>1</v>
      </c>
    </row>
    <row r="4" ht="18" customHeight="1" spans="1:2">
      <c r="A4" s="24" t="s">
        <v>2</v>
      </c>
      <c r="B4" s="25" t="s">
        <v>3</v>
      </c>
    </row>
    <row r="5" ht="18" customHeight="1" spans="1:2">
      <c r="A5" s="24" t="s">
        <v>4</v>
      </c>
      <c r="B5" s="25" t="s">
        <v>5</v>
      </c>
    </row>
    <row r="6" ht="18" customHeight="1" spans="1:2">
      <c r="A6" s="24" t="s">
        <v>6</v>
      </c>
      <c r="B6" s="25" t="s">
        <v>7</v>
      </c>
    </row>
    <row r="7" ht="27.75" customHeight="1" spans="1:2">
      <c r="A7" s="24" t="s">
        <v>8</v>
      </c>
      <c r="B7" s="25" t="s">
        <v>9</v>
      </c>
    </row>
    <row r="8" ht="55.5" customHeight="1" spans="1:2">
      <c r="A8" s="24" t="s">
        <v>10</v>
      </c>
      <c r="B8" s="25" t="s">
        <v>11</v>
      </c>
    </row>
    <row r="9" ht="18" customHeight="1" spans="1:2">
      <c r="A9" s="24" t="s">
        <v>12</v>
      </c>
      <c r="B9" s="25" t="s">
        <v>13</v>
      </c>
    </row>
    <row r="10" ht="27.75" customHeight="1" spans="1:2">
      <c r="A10" s="24" t="s">
        <v>14</v>
      </c>
      <c r="B10" s="25" t="s">
        <v>15</v>
      </c>
    </row>
    <row r="11" ht="42" customHeight="1" spans="1:2">
      <c r="A11" s="24" t="s">
        <v>16</v>
      </c>
      <c r="B11" s="25" t="s">
        <v>17</v>
      </c>
    </row>
    <row r="12" ht="18" customHeight="1" spans="1:2">
      <c r="A12" s="24" t="s">
        <v>18</v>
      </c>
      <c r="B12" s="25" t="s">
        <v>19</v>
      </c>
    </row>
    <row r="13" ht="27.75" customHeight="1" spans="1:2">
      <c r="A13" s="24" t="s">
        <v>20</v>
      </c>
      <c r="B13" s="25" t="s">
        <v>21</v>
      </c>
    </row>
    <row r="14" ht="42" customHeight="1" spans="1:2">
      <c r="A14" s="24" t="s">
        <v>22</v>
      </c>
      <c r="B14" s="25" t="s">
        <v>23</v>
      </c>
    </row>
    <row r="16" ht="15.75" customHeight="1" spans="1:2">
      <c r="A16" s="26" t="s">
        <v>24</v>
      </c>
    </row>
    <row r="17" spans="1:7">
      <c r="A17" s="13" t="s">
        <v>25</v>
      </c>
      <c r="B17" s="13" t="s">
        <v>26</v>
      </c>
      <c r="C17" s="13" t="s">
        <v>27</v>
      </c>
      <c r="D17" s="13" t="s">
        <v>28</v>
      </c>
      <c r="E17" s="13" t="s">
        <v>29</v>
      </c>
      <c r="F17" s="13" t="s">
        <v>30</v>
      </c>
      <c r="G17" s="13" t="s">
        <v>31</v>
      </c>
    </row>
    <row r="18" ht="42" customHeight="1" spans="1:7">
      <c r="A18" s="16" t="s">
        <v>32</v>
      </c>
      <c r="B18" s="16" t="s">
        <v>33</v>
      </c>
      <c r="C18" s="16">
        <v>8</v>
      </c>
      <c r="D18" s="16" t="s">
        <v>34</v>
      </c>
      <c r="E18" s="16" t="s">
        <v>35</v>
      </c>
      <c r="F18" s="16" t="s">
        <v>36</v>
      </c>
      <c r="G18" s="16" t="s">
        <v>37</v>
      </c>
    </row>
    <row r="19" ht="42" customHeight="1" spans="1:7">
      <c r="A19" s="16" t="s">
        <v>38</v>
      </c>
      <c r="B19" s="16" t="s">
        <v>39</v>
      </c>
      <c r="C19" s="16">
        <v>7</v>
      </c>
      <c r="D19" s="16" t="s">
        <v>40</v>
      </c>
      <c r="E19" s="16" t="s">
        <v>41</v>
      </c>
      <c r="F19" s="16" t="s">
        <v>42</v>
      </c>
      <c r="G19" s="16" t="s">
        <v>43</v>
      </c>
    </row>
    <row r="20" ht="42" customHeight="1" spans="1:7">
      <c r="A20" s="16" t="s">
        <v>44</v>
      </c>
      <c r="B20" s="16" t="s">
        <v>45</v>
      </c>
      <c r="C20" s="16">
        <v>5</v>
      </c>
      <c r="D20" s="16" t="s">
        <v>46</v>
      </c>
      <c r="E20" s="16" t="s">
        <v>47</v>
      </c>
      <c r="F20" s="16" t="s">
        <v>48</v>
      </c>
      <c r="G20" s="16" t="s">
        <v>49</v>
      </c>
    </row>
    <row r="21" ht="42" customHeight="1" spans="1:7">
      <c r="A21" s="16" t="s">
        <v>50</v>
      </c>
      <c r="B21" s="16" t="s">
        <v>51</v>
      </c>
      <c r="C21" s="16">
        <v>6</v>
      </c>
      <c r="D21" s="16" t="s">
        <v>52</v>
      </c>
      <c r="E21" s="16" t="s">
        <v>53</v>
      </c>
      <c r="F21" s="16" t="s">
        <v>54</v>
      </c>
      <c r="G21" s="16" t="s">
        <v>55</v>
      </c>
    </row>
    <row r="22" ht="42" customHeight="1" spans="1:7">
      <c r="A22" s="16" t="s">
        <v>56</v>
      </c>
      <c r="B22" s="16" t="s">
        <v>57</v>
      </c>
      <c r="C22" s="16">
        <v>4</v>
      </c>
      <c r="D22" s="16" t="s">
        <v>58</v>
      </c>
      <c r="E22" s="16" t="s">
        <v>59</v>
      </c>
      <c r="F22" s="16" t="s">
        <v>60</v>
      </c>
      <c r="G22" s="16" t="s">
        <v>55</v>
      </c>
    </row>
    <row r="23" spans="1:7">
      <c r="A23" s="11" t="s">
        <v>61</v>
      </c>
      <c r="C23" s="11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01"/>
  <sheetViews>
    <sheetView topLeftCell="F1" workbookViewId="0">
      <pane ySplit="1" topLeftCell="A2" activePane="bottomLeft" state="frozen"/>
      <selection/>
      <selection pane="bottomLeft" activeCell="M2" sqref="M2"/>
    </sheetView>
  </sheetViews>
  <sheetFormatPr defaultColWidth="9" defaultRowHeight="15"/>
  <cols>
    <col min="1" max="1" width="22.8571428571429" style="2" customWidth="1"/>
    <col min="2" max="2" width="9" style="2" customWidth="1"/>
    <col min="3" max="3" width="21.7142857142857" style="2" customWidth="1"/>
    <col min="4" max="4" width="18.2857142857143" style="2" customWidth="1"/>
    <col min="5" max="5" width="16.4285714285714" style="2" customWidth="1"/>
    <col min="6" max="6" width="18" style="2" customWidth="1"/>
    <col min="7" max="7" width="14.2857142857143" style="2" customWidth="1"/>
    <col min="8" max="8" width="19.5714285714286" style="2" customWidth="1"/>
    <col min="9" max="9" width="19.1428571428571" style="2" customWidth="1"/>
    <col min="10" max="10" width="16" style="2" customWidth="1"/>
    <col min="11" max="11" width="15.5714285714286" style="2" customWidth="1"/>
    <col min="12" max="12" width="18.1428571428571" style="2" customWidth="1"/>
    <col min="13" max="13" width="20.5714285714286" style="2" customWidth="1"/>
    <col min="14" max="14" width="17.8571428571429" style="2" customWidth="1"/>
    <col min="15" max="16384" width="9" style="2" customWidth="1"/>
  </cols>
  <sheetData>
    <row r="1" s="2" customFormat="1" spans="1:14">
      <c r="A1" s="19" t="s">
        <v>62</v>
      </c>
      <c r="B1" s="19" t="s">
        <v>63</v>
      </c>
      <c r="C1" s="19" t="s">
        <v>64</v>
      </c>
      <c r="D1" s="19" t="s">
        <v>65</v>
      </c>
      <c r="E1" s="19" t="s">
        <v>66</v>
      </c>
      <c r="F1" s="19" t="s">
        <v>67</v>
      </c>
      <c r="G1" s="19" t="s">
        <v>68</v>
      </c>
      <c r="H1" s="19" t="s">
        <v>69</v>
      </c>
      <c r="I1" s="19" t="s">
        <v>70</v>
      </c>
      <c r="J1" s="19" t="s">
        <v>71</v>
      </c>
      <c r="K1" s="19" t="s">
        <v>72</v>
      </c>
      <c r="L1" s="19" t="s">
        <v>73</v>
      </c>
      <c r="M1" s="19" t="s">
        <v>74</v>
      </c>
      <c r="N1" s="19" t="s">
        <v>75</v>
      </c>
    </row>
    <row r="2" s="2" customFormat="1" spans="1:14">
      <c r="A2" s="20">
        <v>45748</v>
      </c>
      <c r="B2" s="2" t="s">
        <v>76</v>
      </c>
      <c r="C2" s="2" t="s">
        <v>77</v>
      </c>
      <c r="D2" s="2">
        <v>1</v>
      </c>
      <c r="E2" s="2">
        <v>909</v>
      </c>
      <c r="F2" s="2">
        <v>167</v>
      </c>
      <c r="G2" s="2">
        <v>232202</v>
      </c>
      <c r="H2" s="2">
        <v>5</v>
      </c>
      <c r="I2" s="2" t="s">
        <v>78</v>
      </c>
      <c r="J2" s="3">
        <v>0.183718371837184</v>
      </c>
      <c r="K2" s="21">
        <v>1390.43113772455</v>
      </c>
      <c r="L2" s="21">
        <v>46440.4</v>
      </c>
      <c r="M2" s="21">
        <v>181.8</v>
      </c>
      <c r="N2" s="2" t="s">
        <v>79</v>
      </c>
    </row>
    <row r="3" s="2" customFormat="1" spans="1:14">
      <c r="A3" s="20">
        <v>45749</v>
      </c>
      <c r="B3" s="2" t="s">
        <v>76</v>
      </c>
      <c r="C3" s="2" t="s">
        <v>77</v>
      </c>
      <c r="D3" s="2">
        <v>1</v>
      </c>
      <c r="E3" s="2">
        <v>990</v>
      </c>
      <c r="F3" s="2">
        <v>200</v>
      </c>
      <c r="G3" s="2">
        <v>307205</v>
      </c>
      <c r="H3" s="2">
        <v>7</v>
      </c>
      <c r="I3" s="2" t="s">
        <v>78</v>
      </c>
      <c r="J3" s="3">
        <v>0.202020202020202</v>
      </c>
      <c r="K3" s="21">
        <v>1536.025</v>
      </c>
      <c r="L3" s="21">
        <v>43886.4285714286</v>
      </c>
      <c r="M3" s="21">
        <v>141.428571428571</v>
      </c>
      <c r="N3" s="2" t="s">
        <v>79</v>
      </c>
    </row>
    <row r="4" s="2" customFormat="1" spans="1:14">
      <c r="A4" s="20">
        <v>45750</v>
      </c>
      <c r="B4" s="2" t="s">
        <v>76</v>
      </c>
      <c r="C4" s="2" t="s">
        <v>77</v>
      </c>
      <c r="D4" s="2">
        <v>1</v>
      </c>
      <c r="E4" s="2">
        <v>786</v>
      </c>
      <c r="F4" s="2">
        <v>152</v>
      </c>
      <c r="G4" s="2">
        <v>247667</v>
      </c>
      <c r="H4" s="2">
        <v>6</v>
      </c>
      <c r="I4" s="2" t="s">
        <v>78</v>
      </c>
      <c r="J4" s="3">
        <v>0.193384223918575</v>
      </c>
      <c r="K4" s="21">
        <v>1629.38815789474</v>
      </c>
      <c r="L4" s="21">
        <v>41277.8333333333</v>
      </c>
      <c r="M4" s="21">
        <v>131</v>
      </c>
      <c r="N4" s="2" t="s">
        <v>79</v>
      </c>
    </row>
    <row r="5" s="2" customFormat="1" spans="1:14">
      <c r="A5" s="20">
        <v>45751</v>
      </c>
      <c r="B5" s="2" t="s">
        <v>76</v>
      </c>
      <c r="C5" s="2" t="s">
        <v>77</v>
      </c>
      <c r="D5" s="2">
        <v>1</v>
      </c>
      <c r="E5" s="2">
        <v>857</v>
      </c>
      <c r="F5" s="2">
        <v>178</v>
      </c>
      <c r="G5" s="2">
        <v>243562</v>
      </c>
      <c r="H5" s="2">
        <v>8</v>
      </c>
      <c r="I5" s="2" t="s">
        <v>78</v>
      </c>
      <c r="J5" s="3">
        <v>0.207701283547258</v>
      </c>
      <c r="K5" s="21">
        <v>1368.32584269663</v>
      </c>
      <c r="L5" s="21">
        <v>30445.25</v>
      </c>
      <c r="M5" s="21">
        <v>107.125</v>
      </c>
      <c r="N5" s="2" t="s">
        <v>79</v>
      </c>
    </row>
    <row r="6" s="2" customFormat="1" spans="1:14">
      <c r="A6" s="20">
        <v>45752</v>
      </c>
      <c r="B6" s="2" t="s">
        <v>76</v>
      </c>
      <c r="C6" s="2" t="s">
        <v>77</v>
      </c>
      <c r="D6" s="2">
        <v>1</v>
      </c>
      <c r="E6" s="2">
        <v>1187</v>
      </c>
      <c r="F6" s="2">
        <v>210</v>
      </c>
      <c r="G6" s="2">
        <v>240148</v>
      </c>
      <c r="H6" s="2">
        <v>5</v>
      </c>
      <c r="I6" s="2" t="s">
        <v>78</v>
      </c>
      <c r="J6" s="3">
        <v>0.176916596461668</v>
      </c>
      <c r="K6" s="21">
        <v>1143.5619047619</v>
      </c>
      <c r="L6" s="21">
        <v>48029.6</v>
      </c>
      <c r="M6" s="21">
        <v>237.4</v>
      </c>
      <c r="N6" s="2" t="s">
        <v>80</v>
      </c>
    </row>
    <row r="7" s="2" customFormat="1" spans="1:14">
      <c r="A7" s="20">
        <v>45753</v>
      </c>
      <c r="B7" s="2" t="s">
        <v>76</v>
      </c>
      <c r="C7" s="2" t="s">
        <v>77</v>
      </c>
      <c r="D7" s="2">
        <v>1</v>
      </c>
      <c r="E7" s="2">
        <v>874</v>
      </c>
      <c r="F7" s="2">
        <v>175</v>
      </c>
      <c r="G7" s="2">
        <v>251215</v>
      </c>
      <c r="H7" s="2">
        <v>4</v>
      </c>
      <c r="I7" s="2" t="s">
        <v>78</v>
      </c>
      <c r="J7" s="3">
        <v>0.200228832951945</v>
      </c>
      <c r="K7" s="21">
        <v>1435.51428571429</v>
      </c>
      <c r="L7" s="21">
        <v>62803.75</v>
      </c>
      <c r="M7" s="21">
        <v>218.5</v>
      </c>
      <c r="N7" s="2" t="s">
        <v>80</v>
      </c>
    </row>
    <row r="8" s="2" customFormat="1" spans="1:14">
      <c r="A8" s="20">
        <v>45754</v>
      </c>
      <c r="B8" s="2" t="s">
        <v>76</v>
      </c>
      <c r="C8" s="2" t="s">
        <v>77</v>
      </c>
      <c r="D8" s="2">
        <v>1</v>
      </c>
      <c r="E8" s="2">
        <v>934</v>
      </c>
      <c r="F8" s="2">
        <v>198</v>
      </c>
      <c r="G8" s="2">
        <v>301681</v>
      </c>
      <c r="H8" s="2">
        <v>8</v>
      </c>
      <c r="I8" s="2" t="s">
        <v>78</v>
      </c>
      <c r="J8" s="3">
        <v>0.211991434689508</v>
      </c>
      <c r="K8" s="21">
        <v>1523.64141414141</v>
      </c>
      <c r="L8" s="21">
        <v>37710.125</v>
      </c>
      <c r="M8" s="21">
        <v>116.75</v>
      </c>
      <c r="N8" s="2" t="s">
        <v>79</v>
      </c>
    </row>
    <row r="9" s="2" customFormat="1" spans="1:14">
      <c r="A9" s="20">
        <v>45755</v>
      </c>
      <c r="B9" s="2" t="s">
        <v>76</v>
      </c>
      <c r="C9" s="2" t="s">
        <v>77</v>
      </c>
      <c r="D9" s="2">
        <v>1</v>
      </c>
      <c r="E9" s="2">
        <v>784</v>
      </c>
      <c r="F9" s="2">
        <v>152</v>
      </c>
      <c r="G9" s="2">
        <v>198957</v>
      </c>
      <c r="H9" s="2">
        <v>4</v>
      </c>
      <c r="I9" s="2" t="s">
        <v>78</v>
      </c>
      <c r="J9" s="3">
        <v>0.193877551020408</v>
      </c>
      <c r="K9" s="21">
        <v>1308.92763157895</v>
      </c>
      <c r="L9" s="21">
        <v>49739.25</v>
      </c>
      <c r="M9" s="21">
        <v>196</v>
      </c>
      <c r="N9" s="2" t="s">
        <v>79</v>
      </c>
    </row>
    <row r="10" s="2" customFormat="1" spans="1:14">
      <c r="A10" s="20">
        <v>45756</v>
      </c>
      <c r="B10" s="2" t="s">
        <v>76</v>
      </c>
      <c r="C10" s="2" t="s">
        <v>77</v>
      </c>
      <c r="D10" s="2">
        <v>1</v>
      </c>
      <c r="E10" s="2">
        <v>865</v>
      </c>
      <c r="F10" s="2">
        <v>176</v>
      </c>
      <c r="G10" s="2">
        <v>290919</v>
      </c>
      <c r="H10" s="2">
        <v>5</v>
      </c>
      <c r="I10" s="2" t="s">
        <v>78</v>
      </c>
      <c r="J10" s="3">
        <v>0.203468208092486</v>
      </c>
      <c r="K10" s="21">
        <v>1652.94886363636</v>
      </c>
      <c r="L10" s="21">
        <v>58183.8</v>
      </c>
      <c r="M10" s="21">
        <v>173</v>
      </c>
      <c r="N10" s="2" t="s">
        <v>79</v>
      </c>
    </row>
    <row r="11" s="2" customFormat="1" spans="1:14">
      <c r="A11" s="20">
        <v>45757</v>
      </c>
      <c r="B11" s="2" t="s">
        <v>76</v>
      </c>
      <c r="C11" s="2" t="s">
        <v>77</v>
      </c>
      <c r="D11" s="2">
        <v>1</v>
      </c>
      <c r="E11" s="2">
        <v>741</v>
      </c>
      <c r="F11" s="2">
        <v>140</v>
      </c>
      <c r="G11" s="2">
        <v>207062</v>
      </c>
      <c r="H11" s="2">
        <v>9</v>
      </c>
      <c r="I11" s="2" t="s">
        <v>78</v>
      </c>
      <c r="J11" s="3">
        <v>0.188933873144399</v>
      </c>
      <c r="K11" s="21">
        <v>1479.01428571429</v>
      </c>
      <c r="L11" s="21">
        <v>23006.8888888889</v>
      </c>
      <c r="M11" s="21">
        <v>82.3333333333333</v>
      </c>
      <c r="N11" s="2" t="s">
        <v>79</v>
      </c>
    </row>
    <row r="12" s="2" customFormat="1" spans="1:14">
      <c r="A12" s="20">
        <v>45758</v>
      </c>
      <c r="B12" s="2" t="s">
        <v>76</v>
      </c>
      <c r="C12" s="2" t="s">
        <v>77</v>
      </c>
      <c r="D12" s="2">
        <v>1</v>
      </c>
      <c r="E12" s="2">
        <v>964</v>
      </c>
      <c r="F12" s="2">
        <v>188</v>
      </c>
      <c r="G12" s="2">
        <v>229558</v>
      </c>
      <c r="H12" s="2">
        <v>5</v>
      </c>
      <c r="I12" s="2" t="s">
        <v>78</v>
      </c>
      <c r="J12" s="3">
        <v>0.195020746887967</v>
      </c>
      <c r="K12" s="21">
        <v>1221.05319148936</v>
      </c>
      <c r="L12" s="21">
        <v>45911.6</v>
      </c>
      <c r="M12" s="21">
        <v>192.8</v>
      </c>
      <c r="N12" s="2" t="s">
        <v>79</v>
      </c>
    </row>
    <row r="13" s="2" customFormat="1" spans="1:14">
      <c r="A13" s="20">
        <v>45759</v>
      </c>
      <c r="B13" s="2" t="s">
        <v>76</v>
      </c>
      <c r="C13" s="2" t="s">
        <v>77</v>
      </c>
      <c r="D13" s="2">
        <v>1</v>
      </c>
      <c r="E13" s="2">
        <v>1111</v>
      </c>
      <c r="F13" s="2">
        <v>205</v>
      </c>
      <c r="G13" s="2">
        <v>307332</v>
      </c>
      <c r="H13" s="2">
        <v>6</v>
      </c>
      <c r="I13" s="2" t="s">
        <v>78</v>
      </c>
      <c r="J13" s="3">
        <v>0.184518451845185</v>
      </c>
      <c r="K13" s="21">
        <v>1499.18048780488</v>
      </c>
      <c r="L13" s="21">
        <v>51222</v>
      </c>
      <c r="M13" s="21">
        <v>185.166666666667</v>
      </c>
      <c r="N13" s="2" t="s">
        <v>80</v>
      </c>
    </row>
    <row r="14" s="2" customFormat="1" spans="1:14">
      <c r="A14" s="20">
        <v>45760</v>
      </c>
      <c r="B14" s="2" t="s">
        <v>76</v>
      </c>
      <c r="C14" s="2" t="s">
        <v>77</v>
      </c>
      <c r="D14" s="2">
        <v>1</v>
      </c>
      <c r="E14" s="2">
        <v>1213</v>
      </c>
      <c r="F14" s="2">
        <v>229</v>
      </c>
      <c r="G14" s="2">
        <v>322525</v>
      </c>
      <c r="H14" s="2">
        <v>5</v>
      </c>
      <c r="I14" s="2" t="s">
        <v>78</v>
      </c>
      <c r="J14" s="3">
        <v>0.18878812860676</v>
      </c>
      <c r="K14" s="21">
        <v>1408.40611353712</v>
      </c>
      <c r="L14" s="21">
        <v>64505</v>
      </c>
      <c r="M14" s="21">
        <v>242.6</v>
      </c>
      <c r="N14" s="2" t="s">
        <v>80</v>
      </c>
    </row>
    <row r="15" s="2" customFormat="1" spans="1:14">
      <c r="A15" s="20">
        <v>45761</v>
      </c>
      <c r="B15" s="2" t="s">
        <v>76</v>
      </c>
      <c r="C15" s="2" t="s">
        <v>77</v>
      </c>
      <c r="D15" s="2">
        <v>1</v>
      </c>
      <c r="E15" s="2">
        <v>758</v>
      </c>
      <c r="F15" s="2">
        <v>156</v>
      </c>
      <c r="G15" s="2">
        <v>220966</v>
      </c>
      <c r="H15" s="2">
        <v>8</v>
      </c>
      <c r="I15" s="2" t="s">
        <v>78</v>
      </c>
      <c r="J15" s="3">
        <v>0.205804749340369</v>
      </c>
      <c r="K15" s="21">
        <v>1416.44871794872</v>
      </c>
      <c r="L15" s="21">
        <v>27620.75</v>
      </c>
      <c r="M15" s="21">
        <v>94.75</v>
      </c>
      <c r="N15" s="2" t="s">
        <v>79</v>
      </c>
    </row>
    <row r="16" s="2" customFormat="1" spans="1:14">
      <c r="A16" s="20">
        <v>45762</v>
      </c>
      <c r="B16" s="2" t="s">
        <v>76</v>
      </c>
      <c r="C16" s="2" t="s">
        <v>77</v>
      </c>
      <c r="D16" s="2">
        <v>1</v>
      </c>
      <c r="E16" s="2">
        <v>954</v>
      </c>
      <c r="F16" s="2">
        <v>201</v>
      </c>
      <c r="G16" s="2">
        <v>250393</v>
      </c>
      <c r="H16" s="2">
        <v>7</v>
      </c>
      <c r="I16" s="2" t="s">
        <v>78</v>
      </c>
      <c r="J16" s="3">
        <v>0.210691823899371</v>
      </c>
      <c r="K16" s="21">
        <v>1245.73631840796</v>
      </c>
      <c r="L16" s="21">
        <v>35770.4285714286</v>
      </c>
      <c r="M16" s="21">
        <v>136.285714285714</v>
      </c>
      <c r="N16" s="2" t="s">
        <v>79</v>
      </c>
    </row>
    <row r="17" s="2" customFormat="1" spans="1:14">
      <c r="A17" s="20">
        <v>45763</v>
      </c>
      <c r="B17" s="2" t="s">
        <v>76</v>
      </c>
      <c r="C17" s="2" t="s">
        <v>77</v>
      </c>
      <c r="D17" s="2">
        <v>1</v>
      </c>
      <c r="E17" s="2">
        <v>678</v>
      </c>
      <c r="F17" s="2">
        <v>128</v>
      </c>
      <c r="G17" s="2">
        <v>204182</v>
      </c>
      <c r="H17" s="2">
        <v>9</v>
      </c>
      <c r="I17" s="2" t="s">
        <v>78</v>
      </c>
      <c r="J17" s="3">
        <v>0.188790560471976</v>
      </c>
      <c r="K17" s="21">
        <v>1595.171875</v>
      </c>
      <c r="L17" s="21">
        <v>22686.8888888889</v>
      </c>
      <c r="M17" s="21">
        <v>75.3333333333333</v>
      </c>
      <c r="N17" s="2" t="s">
        <v>79</v>
      </c>
    </row>
    <row r="18" s="2" customFormat="1" spans="1:14">
      <c r="A18" s="20">
        <v>45764</v>
      </c>
      <c r="B18" s="2" t="s">
        <v>76</v>
      </c>
      <c r="C18" s="2" t="s">
        <v>77</v>
      </c>
      <c r="D18" s="2">
        <v>1</v>
      </c>
      <c r="E18" s="2">
        <v>807</v>
      </c>
      <c r="F18" s="2">
        <v>149</v>
      </c>
      <c r="G18" s="2">
        <v>217850</v>
      </c>
      <c r="H18" s="2">
        <v>4</v>
      </c>
      <c r="I18" s="2" t="s">
        <v>78</v>
      </c>
      <c r="J18" s="3">
        <v>0.184634448574969</v>
      </c>
      <c r="K18" s="21">
        <v>1462.08053691275</v>
      </c>
      <c r="L18" s="21">
        <v>54462.5</v>
      </c>
      <c r="M18" s="21">
        <v>201.75</v>
      </c>
      <c r="N18" s="2" t="s">
        <v>79</v>
      </c>
    </row>
    <row r="19" s="2" customFormat="1" spans="1:14">
      <c r="A19" s="20">
        <v>45765</v>
      </c>
      <c r="B19" s="2" t="s">
        <v>76</v>
      </c>
      <c r="C19" s="2" t="s">
        <v>77</v>
      </c>
      <c r="D19" s="2">
        <v>1</v>
      </c>
      <c r="E19" s="2">
        <v>743</v>
      </c>
      <c r="F19" s="2">
        <v>147</v>
      </c>
      <c r="G19" s="2">
        <v>205491</v>
      </c>
      <c r="H19" s="2">
        <v>6</v>
      </c>
      <c r="I19" s="2" t="s">
        <v>78</v>
      </c>
      <c r="J19" s="3">
        <v>0.197846567967699</v>
      </c>
      <c r="K19" s="21">
        <v>1397.89795918367</v>
      </c>
      <c r="L19" s="21">
        <v>34248.5</v>
      </c>
      <c r="M19" s="21">
        <v>123.833333333333</v>
      </c>
      <c r="N19" s="2" t="s">
        <v>79</v>
      </c>
    </row>
    <row r="20" s="2" customFormat="1" spans="1:14">
      <c r="A20" s="20">
        <v>45766</v>
      </c>
      <c r="B20" s="2" t="s">
        <v>76</v>
      </c>
      <c r="C20" s="2" t="s">
        <v>77</v>
      </c>
      <c r="D20" s="2">
        <v>1</v>
      </c>
      <c r="E20" s="2">
        <v>1104</v>
      </c>
      <c r="F20" s="2">
        <v>217</v>
      </c>
      <c r="G20" s="2">
        <v>331194</v>
      </c>
      <c r="H20" s="2">
        <v>7</v>
      </c>
      <c r="I20" s="2" t="s">
        <v>78</v>
      </c>
      <c r="J20" s="3">
        <v>0.196557971014493</v>
      </c>
      <c r="K20" s="21">
        <v>1526.23963133641</v>
      </c>
      <c r="L20" s="21">
        <v>47313.4285714286</v>
      </c>
      <c r="M20" s="21">
        <v>157.714285714286</v>
      </c>
      <c r="N20" s="2" t="s">
        <v>80</v>
      </c>
    </row>
    <row r="21" s="2" customFormat="1" spans="1:14">
      <c r="A21" s="20">
        <v>45767</v>
      </c>
      <c r="B21" s="2" t="s">
        <v>76</v>
      </c>
      <c r="C21" s="2" t="s">
        <v>77</v>
      </c>
      <c r="D21" s="2">
        <v>1</v>
      </c>
      <c r="E21" s="2">
        <v>1275</v>
      </c>
      <c r="F21" s="2">
        <v>239</v>
      </c>
      <c r="G21" s="2">
        <v>400043</v>
      </c>
      <c r="H21" s="2">
        <v>8</v>
      </c>
      <c r="I21" s="2" t="s">
        <v>81</v>
      </c>
      <c r="J21" s="3">
        <v>0.187450980392157</v>
      </c>
      <c r="K21" s="21">
        <v>1673.82008368201</v>
      </c>
      <c r="L21" s="21">
        <v>50005.375</v>
      </c>
      <c r="M21" s="21">
        <v>159.375</v>
      </c>
      <c r="N21" s="2" t="s">
        <v>80</v>
      </c>
    </row>
    <row r="22" s="2" customFormat="1" spans="1:14">
      <c r="A22" s="20">
        <v>45768</v>
      </c>
      <c r="B22" s="2" t="s">
        <v>76</v>
      </c>
      <c r="C22" s="2" t="s">
        <v>77</v>
      </c>
      <c r="D22" s="2">
        <v>1</v>
      </c>
      <c r="E22" s="2">
        <v>737</v>
      </c>
      <c r="F22" s="2">
        <v>135</v>
      </c>
      <c r="G22" s="2">
        <v>156466</v>
      </c>
      <c r="H22" s="2">
        <v>6</v>
      </c>
      <c r="I22" s="2" t="s">
        <v>78</v>
      </c>
      <c r="J22" s="3">
        <v>0.183175033921303</v>
      </c>
      <c r="K22" s="21">
        <v>1159.00740740741</v>
      </c>
      <c r="L22" s="21">
        <v>26077.6666666667</v>
      </c>
      <c r="M22" s="21">
        <v>122.833333333333</v>
      </c>
      <c r="N22" s="2" t="s">
        <v>79</v>
      </c>
    </row>
    <row r="23" s="2" customFormat="1" spans="1:14">
      <c r="A23" s="20">
        <v>45769</v>
      </c>
      <c r="B23" s="2" t="s">
        <v>76</v>
      </c>
      <c r="C23" s="2" t="s">
        <v>77</v>
      </c>
      <c r="D23" s="2">
        <v>1</v>
      </c>
      <c r="E23" s="2">
        <v>825</v>
      </c>
      <c r="F23" s="2">
        <v>153</v>
      </c>
      <c r="G23" s="2">
        <v>175853</v>
      </c>
      <c r="H23" s="2">
        <v>5</v>
      </c>
      <c r="I23" s="2" t="s">
        <v>78</v>
      </c>
      <c r="J23" s="3">
        <v>0.185454545454546</v>
      </c>
      <c r="K23" s="21">
        <v>1149.36601307189</v>
      </c>
      <c r="L23" s="21">
        <v>35170.6</v>
      </c>
      <c r="M23" s="21">
        <v>165</v>
      </c>
      <c r="N23" s="2" t="s">
        <v>79</v>
      </c>
    </row>
    <row r="24" s="2" customFormat="1" spans="1:14">
      <c r="A24" s="20">
        <v>45770</v>
      </c>
      <c r="B24" s="2" t="s">
        <v>76</v>
      </c>
      <c r="C24" s="2" t="s">
        <v>77</v>
      </c>
      <c r="D24" s="2">
        <v>1</v>
      </c>
      <c r="E24" s="2">
        <v>827</v>
      </c>
      <c r="F24" s="2">
        <v>155</v>
      </c>
      <c r="G24" s="2">
        <v>263153</v>
      </c>
      <c r="H24" s="2">
        <v>9</v>
      </c>
      <c r="I24" s="2" t="s">
        <v>78</v>
      </c>
      <c r="J24" s="3">
        <v>0.187424425634825</v>
      </c>
      <c r="K24" s="21">
        <v>1697.76129032258</v>
      </c>
      <c r="L24" s="21">
        <v>29239.2222222222</v>
      </c>
      <c r="M24" s="21">
        <v>91.8888888888889</v>
      </c>
      <c r="N24" s="2" t="s">
        <v>79</v>
      </c>
    </row>
    <row r="25" s="2" customFormat="1" spans="1:14">
      <c r="A25" s="20">
        <v>45771</v>
      </c>
      <c r="B25" s="2" t="s">
        <v>76</v>
      </c>
      <c r="C25" s="2" t="s">
        <v>77</v>
      </c>
      <c r="D25" s="2">
        <v>1</v>
      </c>
      <c r="E25" s="2">
        <v>761</v>
      </c>
      <c r="F25" s="2">
        <v>143</v>
      </c>
      <c r="G25" s="2">
        <v>181678</v>
      </c>
      <c r="H25" s="2">
        <v>7</v>
      </c>
      <c r="I25" s="2" t="s">
        <v>78</v>
      </c>
      <c r="J25" s="3">
        <v>0.187910643889619</v>
      </c>
      <c r="K25" s="21">
        <v>1270.47552447552</v>
      </c>
      <c r="L25" s="21">
        <v>25954</v>
      </c>
      <c r="M25" s="21">
        <v>108.714285714286</v>
      </c>
      <c r="N25" s="2" t="s">
        <v>79</v>
      </c>
    </row>
    <row r="26" s="2" customFormat="1" spans="1:14">
      <c r="A26" s="20">
        <v>45772</v>
      </c>
      <c r="B26" s="2" t="s">
        <v>76</v>
      </c>
      <c r="C26" s="2" t="s">
        <v>77</v>
      </c>
      <c r="D26" s="2">
        <v>1</v>
      </c>
      <c r="E26" s="2">
        <v>622</v>
      </c>
      <c r="F26" s="2">
        <v>108</v>
      </c>
      <c r="G26" s="2">
        <v>130105</v>
      </c>
      <c r="H26" s="2">
        <v>4</v>
      </c>
      <c r="I26" s="2" t="s">
        <v>78</v>
      </c>
      <c r="J26" s="3">
        <v>0.173633440514469</v>
      </c>
      <c r="K26" s="21">
        <v>1204.67592592593</v>
      </c>
      <c r="L26" s="21">
        <v>32526.25</v>
      </c>
      <c r="M26" s="21">
        <v>155.5</v>
      </c>
      <c r="N26" s="2" t="s">
        <v>79</v>
      </c>
    </row>
    <row r="27" s="2" customFormat="1" spans="1:14">
      <c r="A27" s="20">
        <v>45773</v>
      </c>
      <c r="B27" s="2" t="s">
        <v>76</v>
      </c>
      <c r="C27" s="2" t="s">
        <v>77</v>
      </c>
      <c r="D27" s="2">
        <v>1</v>
      </c>
      <c r="E27" s="2">
        <v>1341</v>
      </c>
      <c r="F27" s="2">
        <v>234</v>
      </c>
      <c r="G27" s="2">
        <v>391816</v>
      </c>
      <c r="H27" s="2">
        <v>4</v>
      </c>
      <c r="I27" s="2" t="s">
        <v>78</v>
      </c>
      <c r="J27" s="3">
        <v>0.174496644295302</v>
      </c>
      <c r="K27" s="21">
        <v>1674.42735042735</v>
      </c>
      <c r="L27" s="21">
        <v>97954</v>
      </c>
      <c r="M27" s="21">
        <v>335.25</v>
      </c>
      <c r="N27" s="2" t="s">
        <v>80</v>
      </c>
    </row>
    <row r="28" s="2" customFormat="1" spans="1:14">
      <c r="A28" s="20">
        <v>45774</v>
      </c>
      <c r="B28" s="2" t="s">
        <v>76</v>
      </c>
      <c r="C28" s="2" t="s">
        <v>77</v>
      </c>
      <c r="D28" s="2">
        <v>1</v>
      </c>
      <c r="E28" s="2">
        <v>1102</v>
      </c>
      <c r="F28" s="2">
        <v>223</v>
      </c>
      <c r="G28" s="2">
        <v>359754</v>
      </c>
      <c r="H28" s="2">
        <v>6</v>
      </c>
      <c r="I28" s="2" t="s">
        <v>78</v>
      </c>
      <c r="J28" s="3">
        <v>0.202359346642468</v>
      </c>
      <c r="K28" s="21">
        <v>1613.2466367713</v>
      </c>
      <c r="L28" s="21">
        <v>59959</v>
      </c>
      <c r="M28" s="21">
        <v>183.666666666667</v>
      </c>
      <c r="N28" s="2" t="s">
        <v>80</v>
      </c>
    </row>
    <row r="29" s="2" customFormat="1" spans="1:14">
      <c r="A29" s="20">
        <v>45775</v>
      </c>
      <c r="B29" s="2" t="s">
        <v>76</v>
      </c>
      <c r="C29" s="2" t="s">
        <v>77</v>
      </c>
      <c r="D29" s="2">
        <v>1</v>
      </c>
      <c r="E29" s="2">
        <v>648</v>
      </c>
      <c r="F29" s="2">
        <v>133</v>
      </c>
      <c r="G29" s="2">
        <v>146602</v>
      </c>
      <c r="H29" s="2">
        <v>6</v>
      </c>
      <c r="I29" s="2" t="s">
        <v>81</v>
      </c>
      <c r="J29" s="3">
        <v>0.205246913580247</v>
      </c>
      <c r="K29" s="21">
        <v>1102.27067669173</v>
      </c>
      <c r="L29" s="21">
        <v>24433.6666666667</v>
      </c>
      <c r="M29" s="21">
        <v>108</v>
      </c>
      <c r="N29" s="2" t="s">
        <v>79</v>
      </c>
    </row>
    <row r="30" s="2" customFormat="1" spans="1:14">
      <c r="A30" s="20">
        <v>45776</v>
      </c>
      <c r="B30" s="2" t="s">
        <v>76</v>
      </c>
      <c r="C30" s="2" t="s">
        <v>77</v>
      </c>
      <c r="D30" s="2">
        <v>1</v>
      </c>
      <c r="E30" s="2">
        <v>876</v>
      </c>
      <c r="F30" s="2">
        <v>171</v>
      </c>
      <c r="G30" s="2">
        <v>287100</v>
      </c>
      <c r="H30" s="2">
        <v>6</v>
      </c>
      <c r="I30" s="2" t="s">
        <v>78</v>
      </c>
      <c r="J30" s="3">
        <v>0.195205479452055</v>
      </c>
      <c r="K30" s="21">
        <v>1678.94736842105</v>
      </c>
      <c r="L30" s="21">
        <v>47850</v>
      </c>
      <c r="M30" s="21">
        <v>146</v>
      </c>
      <c r="N30" s="2" t="s">
        <v>79</v>
      </c>
    </row>
    <row r="31" s="2" customFormat="1" spans="1:14">
      <c r="A31" s="20">
        <v>45777</v>
      </c>
      <c r="B31" s="2" t="s">
        <v>76</v>
      </c>
      <c r="C31" s="2" t="s">
        <v>77</v>
      </c>
      <c r="D31" s="2">
        <v>1</v>
      </c>
      <c r="E31" s="2">
        <v>897</v>
      </c>
      <c r="F31" s="2">
        <v>180</v>
      </c>
      <c r="G31" s="2">
        <v>238173</v>
      </c>
      <c r="H31" s="2">
        <v>7</v>
      </c>
      <c r="I31" s="2" t="s">
        <v>78</v>
      </c>
      <c r="J31" s="3">
        <v>0.20066889632107</v>
      </c>
      <c r="K31" s="21">
        <v>1323.18333333333</v>
      </c>
      <c r="L31" s="21">
        <v>34024.7142857143</v>
      </c>
      <c r="M31" s="21">
        <v>128.142857142857</v>
      </c>
      <c r="N31" s="2" t="s">
        <v>79</v>
      </c>
    </row>
    <row r="32" s="2" customFormat="1" spans="1:14">
      <c r="A32" s="20">
        <v>45778</v>
      </c>
      <c r="B32" s="2" t="s">
        <v>76</v>
      </c>
      <c r="C32" s="2" t="s">
        <v>77</v>
      </c>
      <c r="D32" s="2">
        <v>1</v>
      </c>
      <c r="E32" s="2">
        <v>670</v>
      </c>
      <c r="F32" s="2">
        <v>123</v>
      </c>
      <c r="G32" s="2">
        <v>165829</v>
      </c>
      <c r="H32" s="2">
        <v>7</v>
      </c>
      <c r="I32" s="2" t="s">
        <v>81</v>
      </c>
      <c r="J32" s="3">
        <v>0.183582089552239</v>
      </c>
      <c r="K32" s="21">
        <v>1348.20325203252</v>
      </c>
      <c r="L32" s="21">
        <v>23689.8571428571</v>
      </c>
      <c r="M32" s="21">
        <v>95.7142857142857</v>
      </c>
      <c r="N32" s="2" t="s">
        <v>79</v>
      </c>
    </row>
    <row r="33" s="2" customFormat="1" spans="1:14">
      <c r="A33" s="20">
        <v>45779</v>
      </c>
      <c r="B33" s="2" t="s">
        <v>76</v>
      </c>
      <c r="C33" s="2" t="s">
        <v>77</v>
      </c>
      <c r="D33" s="2">
        <v>1</v>
      </c>
      <c r="E33" s="2">
        <v>805</v>
      </c>
      <c r="F33" s="2">
        <v>147</v>
      </c>
      <c r="G33" s="2">
        <v>242834</v>
      </c>
      <c r="H33" s="2">
        <v>9</v>
      </c>
      <c r="I33" s="2" t="s">
        <v>78</v>
      </c>
      <c r="J33" s="3">
        <v>0.182608695652174</v>
      </c>
      <c r="K33" s="21">
        <v>1651.93197278912</v>
      </c>
      <c r="L33" s="21">
        <v>26981.5555555556</v>
      </c>
      <c r="M33" s="21">
        <v>89.4444444444444</v>
      </c>
      <c r="N33" s="2" t="s">
        <v>79</v>
      </c>
    </row>
    <row r="34" s="2" customFormat="1" spans="1:14">
      <c r="A34" s="20">
        <v>45780</v>
      </c>
      <c r="B34" s="2" t="s">
        <v>76</v>
      </c>
      <c r="C34" s="2" t="s">
        <v>77</v>
      </c>
      <c r="D34" s="2">
        <v>1</v>
      </c>
      <c r="E34" s="2">
        <v>1388</v>
      </c>
      <c r="F34" s="2">
        <v>264</v>
      </c>
      <c r="G34" s="2">
        <v>332164</v>
      </c>
      <c r="H34" s="2">
        <v>4</v>
      </c>
      <c r="I34" s="2" t="s">
        <v>78</v>
      </c>
      <c r="J34" s="3">
        <v>0.190201729106628</v>
      </c>
      <c r="K34" s="21">
        <v>1258.19696969697</v>
      </c>
      <c r="L34" s="21">
        <v>83041</v>
      </c>
      <c r="M34" s="21">
        <v>347</v>
      </c>
      <c r="N34" s="2" t="s">
        <v>80</v>
      </c>
    </row>
    <row r="35" s="2" customFormat="1" spans="1:14">
      <c r="A35" s="20">
        <v>45781</v>
      </c>
      <c r="B35" s="2" t="s">
        <v>76</v>
      </c>
      <c r="C35" s="2" t="s">
        <v>77</v>
      </c>
      <c r="D35" s="2">
        <v>1</v>
      </c>
      <c r="E35" s="2">
        <v>1364</v>
      </c>
      <c r="F35" s="2">
        <v>253</v>
      </c>
      <c r="G35" s="2">
        <v>397327</v>
      </c>
      <c r="H35" s="2">
        <v>5</v>
      </c>
      <c r="I35" s="2" t="s">
        <v>78</v>
      </c>
      <c r="J35" s="3">
        <v>0.185483870967742</v>
      </c>
      <c r="K35" s="21">
        <v>1570.46245059289</v>
      </c>
      <c r="L35" s="21">
        <v>79465.4</v>
      </c>
      <c r="M35" s="21">
        <v>272.8</v>
      </c>
      <c r="N35" s="2" t="s">
        <v>80</v>
      </c>
    </row>
    <row r="36" s="2" customFormat="1" spans="1:14">
      <c r="A36" s="20">
        <v>45782</v>
      </c>
      <c r="B36" s="2" t="s">
        <v>76</v>
      </c>
      <c r="C36" s="2" t="s">
        <v>77</v>
      </c>
      <c r="D36" s="2">
        <v>1</v>
      </c>
      <c r="E36" s="2">
        <v>871</v>
      </c>
      <c r="F36" s="2">
        <v>158</v>
      </c>
      <c r="G36" s="2">
        <v>196127</v>
      </c>
      <c r="H36" s="2">
        <v>4</v>
      </c>
      <c r="I36" s="2" t="s">
        <v>78</v>
      </c>
      <c r="J36" s="3">
        <v>0.181400688863375</v>
      </c>
      <c r="K36" s="21">
        <v>1241.31012658228</v>
      </c>
      <c r="L36" s="21">
        <v>49031.75</v>
      </c>
      <c r="M36" s="21">
        <v>217.75</v>
      </c>
      <c r="N36" s="2" t="s">
        <v>79</v>
      </c>
    </row>
    <row r="37" s="2" customFormat="1" spans="1:14">
      <c r="A37" s="20">
        <v>45783</v>
      </c>
      <c r="B37" s="2" t="s">
        <v>76</v>
      </c>
      <c r="C37" s="2" t="s">
        <v>77</v>
      </c>
      <c r="D37" s="2">
        <v>1</v>
      </c>
      <c r="E37" s="2">
        <v>849</v>
      </c>
      <c r="F37" s="2">
        <v>165</v>
      </c>
      <c r="G37" s="2">
        <v>188240</v>
      </c>
      <c r="H37" s="2">
        <v>4</v>
      </c>
      <c r="I37" s="2" t="s">
        <v>78</v>
      </c>
      <c r="J37" s="3">
        <v>0.19434628975265</v>
      </c>
      <c r="K37" s="21">
        <v>1140.84848484848</v>
      </c>
      <c r="L37" s="21">
        <v>47060</v>
      </c>
      <c r="M37" s="21">
        <v>212.25</v>
      </c>
      <c r="N37" s="2" t="s">
        <v>79</v>
      </c>
    </row>
    <row r="38" s="2" customFormat="1" spans="1:14">
      <c r="A38" s="20">
        <v>45784</v>
      </c>
      <c r="B38" s="2" t="s">
        <v>76</v>
      </c>
      <c r="C38" s="2" t="s">
        <v>77</v>
      </c>
      <c r="D38" s="2">
        <v>1</v>
      </c>
      <c r="E38" s="2">
        <v>720</v>
      </c>
      <c r="F38" s="2">
        <v>133</v>
      </c>
      <c r="G38" s="2">
        <v>174539</v>
      </c>
      <c r="H38" s="2">
        <v>4</v>
      </c>
      <c r="I38" s="2" t="s">
        <v>81</v>
      </c>
      <c r="J38" s="3">
        <v>0.184722222222222</v>
      </c>
      <c r="K38" s="21">
        <v>1312.32330827068</v>
      </c>
      <c r="L38" s="21">
        <v>43634.75</v>
      </c>
      <c r="M38" s="21">
        <v>180</v>
      </c>
      <c r="N38" s="2" t="s">
        <v>79</v>
      </c>
    </row>
    <row r="39" s="2" customFormat="1" spans="1:14">
      <c r="A39" s="20">
        <v>45785</v>
      </c>
      <c r="B39" s="2" t="s">
        <v>76</v>
      </c>
      <c r="C39" s="2" t="s">
        <v>77</v>
      </c>
      <c r="D39" s="2">
        <v>1</v>
      </c>
      <c r="E39" s="2">
        <v>682</v>
      </c>
      <c r="F39" s="2">
        <v>117</v>
      </c>
      <c r="G39" s="2">
        <v>193641</v>
      </c>
      <c r="H39" s="2">
        <v>6</v>
      </c>
      <c r="I39" s="2" t="s">
        <v>78</v>
      </c>
      <c r="J39" s="3">
        <v>0.171554252199414</v>
      </c>
      <c r="K39" s="21">
        <v>1655.05128205128</v>
      </c>
      <c r="L39" s="21">
        <v>32273.5</v>
      </c>
      <c r="M39" s="21">
        <v>113.666666666667</v>
      </c>
      <c r="N39" s="2" t="s">
        <v>79</v>
      </c>
    </row>
    <row r="40" s="2" customFormat="1" spans="1:14">
      <c r="A40" s="20">
        <v>45786</v>
      </c>
      <c r="B40" s="2" t="s">
        <v>76</v>
      </c>
      <c r="C40" s="2" t="s">
        <v>77</v>
      </c>
      <c r="D40" s="2">
        <v>1</v>
      </c>
      <c r="E40" s="2">
        <v>757</v>
      </c>
      <c r="F40" s="2">
        <v>162</v>
      </c>
      <c r="G40" s="2">
        <v>229015</v>
      </c>
      <c r="H40" s="2">
        <v>9</v>
      </c>
      <c r="I40" s="2" t="s">
        <v>78</v>
      </c>
      <c r="J40" s="3">
        <v>0.214002642007926</v>
      </c>
      <c r="K40" s="21">
        <v>1413.67283950617</v>
      </c>
      <c r="L40" s="21">
        <v>25446.1111111111</v>
      </c>
      <c r="M40" s="21">
        <v>84.1111111111111</v>
      </c>
      <c r="N40" s="2" t="s">
        <v>79</v>
      </c>
    </row>
    <row r="41" s="2" customFormat="1" spans="1:14">
      <c r="A41" s="20">
        <v>45787</v>
      </c>
      <c r="B41" s="2" t="s">
        <v>76</v>
      </c>
      <c r="C41" s="2" t="s">
        <v>77</v>
      </c>
      <c r="D41" s="2">
        <v>1</v>
      </c>
      <c r="E41" s="2">
        <v>1164</v>
      </c>
      <c r="F41" s="2">
        <v>220</v>
      </c>
      <c r="G41" s="2">
        <v>278784</v>
      </c>
      <c r="H41" s="2">
        <v>9</v>
      </c>
      <c r="I41" s="2" t="s">
        <v>78</v>
      </c>
      <c r="J41" s="3">
        <v>0.189003436426117</v>
      </c>
      <c r="K41" s="21">
        <v>1267.2</v>
      </c>
      <c r="L41" s="21">
        <v>30976</v>
      </c>
      <c r="M41" s="21">
        <v>129.333333333333</v>
      </c>
      <c r="N41" s="2" t="s">
        <v>80</v>
      </c>
    </row>
    <row r="42" s="2" customFormat="1" spans="1:14">
      <c r="A42" s="20">
        <v>45788</v>
      </c>
      <c r="B42" s="2" t="s">
        <v>76</v>
      </c>
      <c r="C42" s="2" t="s">
        <v>77</v>
      </c>
      <c r="D42" s="2">
        <v>1</v>
      </c>
      <c r="E42" s="2">
        <v>904</v>
      </c>
      <c r="F42" s="2">
        <v>185</v>
      </c>
      <c r="G42" s="2">
        <v>312326</v>
      </c>
      <c r="H42" s="2">
        <v>7</v>
      </c>
      <c r="I42" s="2" t="s">
        <v>78</v>
      </c>
      <c r="J42" s="3">
        <v>0.204646017699115</v>
      </c>
      <c r="K42" s="21">
        <v>1688.24864864865</v>
      </c>
      <c r="L42" s="21">
        <v>44618</v>
      </c>
      <c r="M42" s="21">
        <v>129.142857142857</v>
      </c>
      <c r="N42" s="2" t="s">
        <v>80</v>
      </c>
    </row>
    <row r="43" s="2" customFormat="1" spans="1:14">
      <c r="A43" s="20">
        <v>45789</v>
      </c>
      <c r="B43" s="2" t="s">
        <v>76</v>
      </c>
      <c r="C43" s="2" t="s">
        <v>77</v>
      </c>
      <c r="D43" s="2">
        <v>1</v>
      </c>
      <c r="E43" s="2">
        <v>823</v>
      </c>
      <c r="F43" s="2">
        <v>167</v>
      </c>
      <c r="G43" s="2">
        <v>207853</v>
      </c>
      <c r="H43" s="2">
        <v>6</v>
      </c>
      <c r="I43" s="2" t="s">
        <v>78</v>
      </c>
      <c r="J43" s="3">
        <v>0.202916160388821</v>
      </c>
      <c r="K43" s="21">
        <v>1244.62874251497</v>
      </c>
      <c r="L43" s="21">
        <v>34642.1666666667</v>
      </c>
      <c r="M43" s="21">
        <v>137.166666666667</v>
      </c>
      <c r="N43" s="2" t="s">
        <v>79</v>
      </c>
    </row>
    <row r="44" s="2" customFormat="1" spans="1:14">
      <c r="A44" s="20">
        <v>45790</v>
      </c>
      <c r="B44" s="2" t="s">
        <v>76</v>
      </c>
      <c r="C44" s="2" t="s">
        <v>77</v>
      </c>
      <c r="D44" s="2">
        <v>1</v>
      </c>
      <c r="E44" s="2">
        <v>688</v>
      </c>
      <c r="F44" s="2">
        <v>140</v>
      </c>
      <c r="G44" s="2">
        <v>170765</v>
      </c>
      <c r="H44" s="2">
        <v>7</v>
      </c>
      <c r="I44" s="2" t="s">
        <v>81</v>
      </c>
      <c r="J44" s="3">
        <v>0.203488372093023</v>
      </c>
      <c r="K44" s="21">
        <v>1219.75</v>
      </c>
      <c r="L44" s="21">
        <v>24395</v>
      </c>
      <c r="M44" s="21">
        <v>98.2857142857143</v>
      </c>
      <c r="N44" s="2" t="s">
        <v>79</v>
      </c>
    </row>
    <row r="45" s="2" customFormat="1" spans="1:14">
      <c r="A45" s="20">
        <v>45791</v>
      </c>
      <c r="B45" s="2" t="s">
        <v>76</v>
      </c>
      <c r="C45" s="2" t="s">
        <v>77</v>
      </c>
      <c r="D45" s="2">
        <v>1</v>
      </c>
      <c r="E45" s="2">
        <v>816</v>
      </c>
      <c r="F45" s="2">
        <v>141</v>
      </c>
      <c r="G45" s="2">
        <v>178384</v>
      </c>
      <c r="H45" s="2">
        <v>5</v>
      </c>
      <c r="I45" s="2" t="s">
        <v>78</v>
      </c>
      <c r="J45" s="3">
        <v>0.172794117647059</v>
      </c>
      <c r="K45" s="21">
        <v>1265.13475177305</v>
      </c>
      <c r="L45" s="21">
        <v>35676.8</v>
      </c>
      <c r="M45" s="21">
        <v>163.2</v>
      </c>
      <c r="N45" s="2" t="s">
        <v>79</v>
      </c>
    </row>
    <row r="46" s="2" customFormat="1" spans="1:14">
      <c r="A46" s="20">
        <v>45792</v>
      </c>
      <c r="B46" s="2" t="s">
        <v>76</v>
      </c>
      <c r="C46" s="2" t="s">
        <v>77</v>
      </c>
      <c r="D46" s="2">
        <v>1</v>
      </c>
      <c r="E46" s="2">
        <v>772</v>
      </c>
      <c r="F46" s="2">
        <v>150</v>
      </c>
      <c r="G46" s="2">
        <v>249732</v>
      </c>
      <c r="H46" s="2">
        <v>8</v>
      </c>
      <c r="I46" s="2" t="s">
        <v>81</v>
      </c>
      <c r="J46" s="3">
        <v>0.194300518134715</v>
      </c>
      <c r="K46" s="21">
        <v>1664.88</v>
      </c>
      <c r="L46" s="21">
        <v>31216.5</v>
      </c>
      <c r="M46" s="21">
        <v>96.5</v>
      </c>
      <c r="N46" s="2" t="s">
        <v>79</v>
      </c>
    </row>
    <row r="47" s="2" customFormat="1" spans="1:14">
      <c r="A47" s="20">
        <v>45793</v>
      </c>
      <c r="B47" s="2" t="s">
        <v>76</v>
      </c>
      <c r="C47" s="2" t="s">
        <v>77</v>
      </c>
      <c r="D47" s="2">
        <v>1</v>
      </c>
      <c r="E47" s="2">
        <v>930</v>
      </c>
      <c r="F47" s="2">
        <v>173</v>
      </c>
      <c r="G47" s="2">
        <v>247741</v>
      </c>
      <c r="H47" s="2">
        <v>4</v>
      </c>
      <c r="I47" s="2" t="s">
        <v>78</v>
      </c>
      <c r="J47" s="3">
        <v>0.186021505376344</v>
      </c>
      <c r="K47" s="21">
        <v>1432.0289017341</v>
      </c>
      <c r="L47" s="21">
        <v>61935.25</v>
      </c>
      <c r="M47" s="21">
        <v>232.5</v>
      </c>
      <c r="N47" s="2" t="s">
        <v>79</v>
      </c>
    </row>
    <row r="48" s="2" customFormat="1" spans="1:14">
      <c r="A48" s="20">
        <v>45794</v>
      </c>
      <c r="B48" s="2" t="s">
        <v>76</v>
      </c>
      <c r="C48" s="2" t="s">
        <v>77</v>
      </c>
      <c r="D48" s="2">
        <v>1</v>
      </c>
      <c r="E48" s="2">
        <v>1168</v>
      </c>
      <c r="F48" s="2">
        <v>240</v>
      </c>
      <c r="G48" s="2">
        <v>371477</v>
      </c>
      <c r="H48" s="2">
        <v>8</v>
      </c>
      <c r="I48" s="2" t="s">
        <v>78</v>
      </c>
      <c r="J48" s="3">
        <v>0.205479452054795</v>
      </c>
      <c r="K48" s="21">
        <v>1547.82083333333</v>
      </c>
      <c r="L48" s="21">
        <v>46434.625</v>
      </c>
      <c r="M48" s="21">
        <v>146</v>
      </c>
      <c r="N48" s="2" t="s">
        <v>80</v>
      </c>
    </row>
    <row r="49" s="2" customFormat="1" spans="1:14">
      <c r="A49" s="20">
        <v>45795</v>
      </c>
      <c r="B49" s="2" t="s">
        <v>76</v>
      </c>
      <c r="C49" s="2" t="s">
        <v>77</v>
      </c>
      <c r="D49" s="2">
        <v>1</v>
      </c>
      <c r="E49" s="2">
        <v>1080</v>
      </c>
      <c r="F49" s="2">
        <v>191</v>
      </c>
      <c r="G49" s="2">
        <v>301671</v>
      </c>
      <c r="H49" s="2">
        <v>7</v>
      </c>
      <c r="I49" s="2" t="s">
        <v>78</v>
      </c>
      <c r="J49" s="3">
        <v>0.176851851851852</v>
      </c>
      <c r="K49" s="21">
        <v>1579.42931937173</v>
      </c>
      <c r="L49" s="21">
        <v>43095.8571428571</v>
      </c>
      <c r="M49" s="21">
        <v>154.285714285714</v>
      </c>
      <c r="N49" s="2" t="s">
        <v>80</v>
      </c>
    </row>
    <row r="50" s="2" customFormat="1" spans="1:14">
      <c r="A50" s="20">
        <v>45796</v>
      </c>
      <c r="B50" s="2" t="s">
        <v>76</v>
      </c>
      <c r="C50" s="2" t="s">
        <v>77</v>
      </c>
      <c r="D50" s="2">
        <v>1</v>
      </c>
      <c r="E50" s="2">
        <v>622</v>
      </c>
      <c r="F50" s="2">
        <v>123</v>
      </c>
      <c r="G50" s="2">
        <v>142443</v>
      </c>
      <c r="H50" s="2">
        <v>6</v>
      </c>
      <c r="I50" s="2" t="s">
        <v>78</v>
      </c>
      <c r="J50" s="3">
        <v>0.197749196141479</v>
      </c>
      <c r="K50" s="21">
        <v>1158.07317073171</v>
      </c>
      <c r="L50" s="21">
        <v>23740.5</v>
      </c>
      <c r="M50" s="21">
        <v>103.666666666667</v>
      </c>
      <c r="N50" s="2" t="s">
        <v>79</v>
      </c>
    </row>
    <row r="51" s="2" customFormat="1" spans="1:14">
      <c r="A51" s="20">
        <v>45797</v>
      </c>
      <c r="B51" s="2" t="s">
        <v>76</v>
      </c>
      <c r="C51" s="2" t="s">
        <v>77</v>
      </c>
      <c r="D51" s="2">
        <v>1</v>
      </c>
      <c r="E51" s="2">
        <v>670</v>
      </c>
      <c r="F51" s="2">
        <v>112</v>
      </c>
      <c r="G51" s="2">
        <v>183477</v>
      </c>
      <c r="H51" s="2">
        <v>5</v>
      </c>
      <c r="I51" s="2" t="s">
        <v>78</v>
      </c>
      <c r="J51" s="3">
        <v>0.167164179104478</v>
      </c>
      <c r="K51" s="21">
        <v>1638.1875</v>
      </c>
      <c r="L51" s="21">
        <v>36695.4</v>
      </c>
      <c r="M51" s="21">
        <v>134</v>
      </c>
      <c r="N51" s="2" t="s">
        <v>79</v>
      </c>
    </row>
    <row r="52" s="2" customFormat="1" spans="1:14">
      <c r="A52" s="20">
        <v>45798</v>
      </c>
      <c r="B52" s="2" t="s">
        <v>76</v>
      </c>
      <c r="C52" s="2" t="s">
        <v>77</v>
      </c>
      <c r="D52" s="2">
        <v>1</v>
      </c>
      <c r="E52" s="2">
        <v>848</v>
      </c>
      <c r="F52" s="2">
        <v>187</v>
      </c>
      <c r="G52" s="2">
        <v>303793</v>
      </c>
      <c r="H52" s="2">
        <v>9</v>
      </c>
      <c r="I52" s="2" t="s">
        <v>78</v>
      </c>
      <c r="J52" s="3">
        <v>0.220518867924528</v>
      </c>
      <c r="K52" s="21">
        <v>1624.5614973262</v>
      </c>
      <c r="L52" s="21">
        <v>33754.7777777778</v>
      </c>
      <c r="M52" s="21">
        <v>94.2222222222222</v>
      </c>
      <c r="N52" s="2" t="s">
        <v>79</v>
      </c>
    </row>
    <row r="53" s="2" customFormat="1" spans="1:14">
      <c r="A53" s="20">
        <v>45799</v>
      </c>
      <c r="B53" s="2" t="s">
        <v>76</v>
      </c>
      <c r="C53" s="2" t="s">
        <v>77</v>
      </c>
      <c r="D53" s="2">
        <v>1</v>
      </c>
      <c r="E53" s="2">
        <v>917</v>
      </c>
      <c r="F53" s="2">
        <v>178</v>
      </c>
      <c r="G53" s="2">
        <v>222407</v>
      </c>
      <c r="H53" s="2">
        <v>9</v>
      </c>
      <c r="I53" s="2" t="s">
        <v>78</v>
      </c>
      <c r="J53" s="3">
        <v>0.194111232279171</v>
      </c>
      <c r="K53" s="21">
        <v>1249.47752808989</v>
      </c>
      <c r="L53" s="21">
        <v>24711.8888888889</v>
      </c>
      <c r="M53" s="21">
        <v>101.888888888889</v>
      </c>
      <c r="N53" s="2" t="s">
        <v>79</v>
      </c>
    </row>
    <row r="54" s="2" customFormat="1" spans="1:14">
      <c r="A54" s="20">
        <v>45800</v>
      </c>
      <c r="B54" s="2" t="s">
        <v>76</v>
      </c>
      <c r="C54" s="2" t="s">
        <v>77</v>
      </c>
      <c r="D54" s="2">
        <v>1</v>
      </c>
      <c r="E54" s="2">
        <v>811</v>
      </c>
      <c r="F54" s="2">
        <v>139</v>
      </c>
      <c r="G54" s="2">
        <v>227364</v>
      </c>
      <c r="H54" s="2">
        <v>6</v>
      </c>
      <c r="I54" s="2" t="s">
        <v>78</v>
      </c>
      <c r="J54" s="3">
        <v>0.171393341553638</v>
      </c>
      <c r="K54" s="21">
        <v>1635.71223021583</v>
      </c>
      <c r="L54" s="21">
        <v>37894</v>
      </c>
      <c r="M54" s="21">
        <v>135.166666666667</v>
      </c>
      <c r="N54" s="2" t="s">
        <v>79</v>
      </c>
    </row>
    <row r="55" s="2" customFormat="1" spans="1:14">
      <c r="A55" s="20">
        <v>45801</v>
      </c>
      <c r="B55" s="2" t="s">
        <v>76</v>
      </c>
      <c r="C55" s="2" t="s">
        <v>77</v>
      </c>
      <c r="D55" s="2">
        <v>1</v>
      </c>
      <c r="E55" s="2">
        <v>1111</v>
      </c>
      <c r="F55" s="2">
        <v>200</v>
      </c>
      <c r="G55" s="2">
        <v>328166</v>
      </c>
      <c r="H55" s="2">
        <v>8</v>
      </c>
      <c r="I55" s="2" t="s">
        <v>78</v>
      </c>
      <c r="J55" s="3">
        <v>0.18001800180018</v>
      </c>
      <c r="K55" s="21">
        <v>1640.83</v>
      </c>
      <c r="L55" s="21">
        <v>41020.75</v>
      </c>
      <c r="M55" s="21">
        <v>138.875</v>
      </c>
      <c r="N55" s="2" t="s">
        <v>80</v>
      </c>
    </row>
    <row r="56" s="2" customFormat="1" spans="1:14">
      <c r="A56" s="20">
        <v>45802</v>
      </c>
      <c r="B56" s="2" t="s">
        <v>76</v>
      </c>
      <c r="C56" s="2" t="s">
        <v>77</v>
      </c>
      <c r="D56" s="2">
        <v>1</v>
      </c>
      <c r="E56" s="2">
        <v>907</v>
      </c>
      <c r="F56" s="2">
        <v>185</v>
      </c>
      <c r="G56" s="2">
        <v>275267</v>
      </c>
      <c r="H56" s="2">
        <v>5</v>
      </c>
      <c r="I56" s="2" t="s">
        <v>78</v>
      </c>
      <c r="J56" s="3">
        <v>0.203969128996692</v>
      </c>
      <c r="K56" s="21">
        <v>1487.92972972973</v>
      </c>
      <c r="L56" s="21">
        <v>55053.4</v>
      </c>
      <c r="M56" s="21">
        <v>181.4</v>
      </c>
      <c r="N56" s="2" t="s">
        <v>80</v>
      </c>
    </row>
    <row r="57" s="2" customFormat="1" spans="1:14">
      <c r="A57" s="20">
        <v>45803</v>
      </c>
      <c r="B57" s="2" t="s">
        <v>76</v>
      </c>
      <c r="C57" s="2" t="s">
        <v>77</v>
      </c>
      <c r="D57" s="2">
        <v>1</v>
      </c>
      <c r="E57" s="2">
        <v>696</v>
      </c>
      <c r="F57" s="2">
        <v>125</v>
      </c>
      <c r="G57" s="2">
        <v>144644</v>
      </c>
      <c r="H57" s="2">
        <v>8</v>
      </c>
      <c r="I57" s="2" t="s">
        <v>81</v>
      </c>
      <c r="J57" s="3">
        <v>0.179597701149425</v>
      </c>
      <c r="K57" s="21">
        <v>1157.152</v>
      </c>
      <c r="L57" s="21">
        <v>18080.5</v>
      </c>
      <c r="M57" s="21">
        <v>87</v>
      </c>
      <c r="N57" s="2" t="s">
        <v>79</v>
      </c>
    </row>
    <row r="58" s="2" customFormat="1" spans="1:14">
      <c r="A58" s="20">
        <v>45804</v>
      </c>
      <c r="B58" s="2" t="s">
        <v>76</v>
      </c>
      <c r="C58" s="2" t="s">
        <v>77</v>
      </c>
      <c r="D58" s="2">
        <v>1</v>
      </c>
      <c r="E58" s="2">
        <v>632</v>
      </c>
      <c r="F58" s="2">
        <v>125</v>
      </c>
      <c r="G58" s="2">
        <v>182711</v>
      </c>
      <c r="H58" s="2">
        <v>5</v>
      </c>
      <c r="I58" s="2" t="s">
        <v>78</v>
      </c>
      <c r="J58" s="3">
        <v>0.197784810126582</v>
      </c>
      <c r="K58" s="21">
        <v>1461.688</v>
      </c>
      <c r="L58" s="21">
        <v>36542.2</v>
      </c>
      <c r="M58" s="21">
        <v>126.4</v>
      </c>
      <c r="N58" s="2" t="s">
        <v>79</v>
      </c>
    </row>
    <row r="59" s="2" customFormat="1" spans="1:14">
      <c r="A59" s="20">
        <v>45805</v>
      </c>
      <c r="B59" s="2" t="s">
        <v>76</v>
      </c>
      <c r="C59" s="2" t="s">
        <v>77</v>
      </c>
      <c r="D59" s="2">
        <v>1</v>
      </c>
      <c r="E59" s="2">
        <v>947</v>
      </c>
      <c r="F59" s="2">
        <v>181</v>
      </c>
      <c r="G59" s="2">
        <v>250496</v>
      </c>
      <c r="H59" s="2">
        <v>9</v>
      </c>
      <c r="I59" s="2" t="s">
        <v>78</v>
      </c>
      <c r="J59" s="3">
        <v>0.191129883843717</v>
      </c>
      <c r="K59" s="21">
        <v>1383.95580110497</v>
      </c>
      <c r="L59" s="21">
        <v>27832.8888888889</v>
      </c>
      <c r="M59" s="21">
        <v>105.222222222222</v>
      </c>
      <c r="N59" s="2" t="s">
        <v>79</v>
      </c>
    </row>
    <row r="60" s="2" customFormat="1" spans="1:14">
      <c r="A60" s="20">
        <v>45806</v>
      </c>
      <c r="B60" s="2" t="s">
        <v>76</v>
      </c>
      <c r="C60" s="2" t="s">
        <v>77</v>
      </c>
      <c r="D60" s="2">
        <v>1</v>
      </c>
      <c r="E60" s="2">
        <v>748</v>
      </c>
      <c r="F60" s="2">
        <v>134</v>
      </c>
      <c r="G60" s="2">
        <v>152105</v>
      </c>
      <c r="H60" s="2">
        <v>7</v>
      </c>
      <c r="I60" s="2" t="s">
        <v>78</v>
      </c>
      <c r="J60" s="3">
        <v>0.179144385026738</v>
      </c>
      <c r="K60" s="21">
        <v>1135.11194029851</v>
      </c>
      <c r="L60" s="21">
        <v>21729.2857142857</v>
      </c>
      <c r="M60" s="21">
        <v>106.857142857143</v>
      </c>
      <c r="N60" s="2" t="s">
        <v>79</v>
      </c>
    </row>
    <row r="61" s="2" customFormat="1" spans="1:14">
      <c r="A61" s="20">
        <v>45807</v>
      </c>
      <c r="B61" s="2" t="s">
        <v>76</v>
      </c>
      <c r="C61" s="2" t="s">
        <v>77</v>
      </c>
      <c r="D61" s="2">
        <v>1</v>
      </c>
      <c r="E61" s="2">
        <v>880</v>
      </c>
      <c r="F61" s="2">
        <v>176</v>
      </c>
      <c r="G61" s="2">
        <v>234928</v>
      </c>
      <c r="H61" s="2">
        <v>5</v>
      </c>
      <c r="I61" s="2" t="s">
        <v>81</v>
      </c>
      <c r="J61" s="3">
        <v>0.2</v>
      </c>
      <c r="K61" s="21">
        <v>1334.81818181818</v>
      </c>
      <c r="L61" s="21">
        <v>46985.6</v>
      </c>
      <c r="M61" s="21">
        <v>176</v>
      </c>
      <c r="N61" s="2" t="s">
        <v>79</v>
      </c>
    </row>
    <row r="62" s="2" customFormat="1" spans="1:14">
      <c r="A62" s="20">
        <v>45808</v>
      </c>
      <c r="B62" s="2" t="s">
        <v>76</v>
      </c>
      <c r="C62" s="2" t="s">
        <v>77</v>
      </c>
      <c r="D62" s="2">
        <v>1</v>
      </c>
      <c r="E62" s="2">
        <v>1240</v>
      </c>
      <c r="F62" s="2">
        <v>251</v>
      </c>
      <c r="G62" s="2">
        <v>330011</v>
      </c>
      <c r="H62" s="2">
        <v>5</v>
      </c>
      <c r="I62" s="2" t="s">
        <v>78</v>
      </c>
      <c r="J62" s="3">
        <v>0.20241935483871</v>
      </c>
      <c r="K62" s="21">
        <v>1314.78486055777</v>
      </c>
      <c r="L62" s="21">
        <v>66002.2</v>
      </c>
      <c r="M62" s="21">
        <v>248</v>
      </c>
      <c r="N62" s="2" t="s">
        <v>80</v>
      </c>
    </row>
    <row r="63" s="2" customFormat="1" spans="1:14">
      <c r="A63" s="20">
        <v>45809</v>
      </c>
      <c r="B63" s="2" t="s">
        <v>76</v>
      </c>
      <c r="C63" s="2" t="s">
        <v>77</v>
      </c>
      <c r="D63" s="2">
        <v>1</v>
      </c>
      <c r="E63" s="2">
        <v>1325</v>
      </c>
      <c r="F63" s="2">
        <v>270</v>
      </c>
      <c r="G63" s="2">
        <v>411547</v>
      </c>
      <c r="H63" s="2">
        <v>8</v>
      </c>
      <c r="I63" s="2" t="s">
        <v>81</v>
      </c>
      <c r="J63" s="3">
        <v>0.20377358490566</v>
      </c>
      <c r="K63" s="21">
        <v>1524.24814814815</v>
      </c>
      <c r="L63" s="21">
        <v>51443.375</v>
      </c>
      <c r="M63" s="21">
        <v>165.625</v>
      </c>
      <c r="N63" s="2" t="s">
        <v>80</v>
      </c>
    </row>
    <row r="64" s="2" customFormat="1" spans="1:14">
      <c r="A64" s="20">
        <v>45810</v>
      </c>
      <c r="B64" s="2" t="s">
        <v>76</v>
      </c>
      <c r="C64" s="2" t="s">
        <v>77</v>
      </c>
      <c r="D64" s="2">
        <v>1</v>
      </c>
      <c r="E64" s="2">
        <v>677</v>
      </c>
      <c r="F64" s="2">
        <v>138</v>
      </c>
      <c r="G64" s="2">
        <v>225868</v>
      </c>
      <c r="H64" s="2">
        <v>7</v>
      </c>
      <c r="I64" s="2" t="s">
        <v>78</v>
      </c>
      <c r="J64" s="3">
        <v>0.20384047267356</v>
      </c>
      <c r="K64" s="21">
        <v>1636.72463768116</v>
      </c>
      <c r="L64" s="21">
        <v>32266.8571428571</v>
      </c>
      <c r="M64" s="21">
        <v>96.7142857142857</v>
      </c>
      <c r="N64" s="2" t="s">
        <v>79</v>
      </c>
    </row>
    <row r="65" s="2" customFormat="1" spans="1:14">
      <c r="A65" s="20">
        <v>45811</v>
      </c>
      <c r="B65" s="2" t="s">
        <v>76</v>
      </c>
      <c r="C65" s="2" t="s">
        <v>77</v>
      </c>
      <c r="D65" s="2">
        <v>1</v>
      </c>
      <c r="E65" s="2">
        <v>868</v>
      </c>
      <c r="F65" s="2">
        <v>161</v>
      </c>
      <c r="G65" s="2">
        <v>218736</v>
      </c>
      <c r="H65" s="2">
        <v>6</v>
      </c>
      <c r="I65" s="2" t="s">
        <v>81</v>
      </c>
      <c r="J65" s="3">
        <v>0.185483870967742</v>
      </c>
      <c r="K65" s="21">
        <v>1358.60869565217</v>
      </c>
      <c r="L65" s="21">
        <v>36456</v>
      </c>
      <c r="M65" s="21">
        <v>144.666666666667</v>
      </c>
      <c r="N65" s="2" t="s">
        <v>79</v>
      </c>
    </row>
    <row r="66" s="2" customFormat="1" spans="1:14">
      <c r="A66" s="20">
        <v>45812</v>
      </c>
      <c r="B66" s="2" t="s">
        <v>76</v>
      </c>
      <c r="C66" s="2" t="s">
        <v>77</v>
      </c>
      <c r="D66" s="2">
        <v>1</v>
      </c>
      <c r="E66" s="2">
        <v>898</v>
      </c>
      <c r="F66" s="2">
        <v>181</v>
      </c>
      <c r="G66" s="2">
        <v>305959</v>
      </c>
      <c r="H66" s="2">
        <v>6</v>
      </c>
      <c r="I66" s="2" t="s">
        <v>78</v>
      </c>
      <c r="J66" s="3">
        <v>0.201559020044543</v>
      </c>
      <c r="K66" s="21">
        <v>1690.38121546961</v>
      </c>
      <c r="L66" s="21">
        <v>50993.1666666667</v>
      </c>
      <c r="M66" s="21">
        <v>149.666666666667</v>
      </c>
      <c r="N66" s="2" t="s">
        <v>79</v>
      </c>
    </row>
    <row r="67" s="2" customFormat="1" spans="1:14">
      <c r="A67" s="20">
        <v>45813</v>
      </c>
      <c r="B67" s="2" t="s">
        <v>76</v>
      </c>
      <c r="C67" s="2" t="s">
        <v>77</v>
      </c>
      <c r="D67" s="2">
        <v>1</v>
      </c>
      <c r="E67" s="2">
        <v>853</v>
      </c>
      <c r="F67" s="2">
        <v>182</v>
      </c>
      <c r="G67" s="2">
        <v>277302</v>
      </c>
      <c r="H67" s="2">
        <v>9</v>
      </c>
      <c r="I67" s="2" t="s">
        <v>78</v>
      </c>
      <c r="J67" s="3">
        <v>0.213364595545135</v>
      </c>
      <c r="K67" s="21">
        <v>1523.63736263736</v>
      </c>
      <c r="L67" s="21">
        <v>30811.3333333333</v>
      </c>
      <c r="M67" s="21">
        <v>94.7777777777778</v>
      </c>
      <c r="N67" s="2" t="s">
        <v>79</v>
      </c>
    </row>
    <row r="68" s="2" customFormat="1" spans="1:14">
      <c r="A68" s="20">
        <v>45814</v>
      </c>
      <c r="B68" s="2" t="s">
        <v>76</v>
      </c>
      <c r="C68" s="2" t="s">
        <v>77</v>
      </c>
      <c r="D68" s="2">
        <v>1</v>
      </c>
      <c r="E68" s="2">
        <v>811</v>
      </c>
      <c r="F68" s="2">
        <v>150</v>
      </c>
      <c r="G68" s="2">
        <v>225404</v>
      </c>
      <c r="H68" s="2">
        <v>6</v>
      </c>
      <c r="I68" s="2" t="s">
        <v>81</v>
      </c>
      <c r="J68" s="3">
        <v>0.184956843403206</v>
      </c>
      <c r="K68" s="21">
        <v>1502.69333333333</v>
      </c>
      <c r="L68" s="21">
        <v>37567.3333333333</v>
      </c>
      <c r="M68" s="21">
        <v>135.166666666667</v>
      </c>
      <c r="N68" s="2" t="s">
        <v>79</v>
      </c>
    </row>
    <row r="69" s="2" customFormat="1" spans="1:14">
      <c r="A69" s="20">
        <v>45815</v>
      </c>
      <c r="B69" s="2" t="s">
        <v>76</v>
      </c>
      <c r="C69" s="2" t="s">
        <v>77</v>
      </c>
      <c r="D69" s="2">
        <v>1</v>
      </c>
      <c r="E69" s="2">
        <v>1299</v>
      </c>
      <c r="F69" s="2">
        <v>250</v>
      </c>
      <c r="G69" s="2">
        <v>375201</v>
      </c>
      <c r="H69" s="2">
        <v>6</v>
      </c>
      <c r="I69" s="2" t="s">
        <v>78</v>
      </c>
      <c r="J69" s="3">
        <v>0.192455735180908</v>
      </c>
      <c r="K69" s="21">
        <v>1500.804</v>
      </c>
      <c r="L69" s="21">
        <v>62533.5</v>
      </c>
      <c r="M69" s="21">
        <v>216.5</v>
      </c>
      <c r="N69" s="2" t="s">
        <v>80</v>
      </c>
    </row>
    <row r="70" s="2" customFormat="1" spans="1:14">
      <c r="A70" s="20">
        <v>45816</v>
      </c>
      <c r="B70" s="2" t="s">
        <v>76</v>
      </c>
      <c r="C70" s="2" t="s">
        <v>77</v>
      </c>
      <c r="D70" s="2">
        <v>1</v>
      </c>
      <c r="E70" s="2">
        <v>1381</v>
      </c>
      <c r="F70" s="2">
        <v>247</v>
      </c>
      <c r="G70" s="2">
        <v>384950</v>
      </c>
      <c r="H70" s="2">
        <v>5</v>
      </c>
      <c r="I70" s="2" t="s">
        <v>78</v>
      </c>
      <c r="J70" s="3">
        <v>0.178855901520637</v>
      </c>
      <c r="K70" s="21">
        <v>1558.5020242915</v>
      </c>
      <c r="L70" s="21">
        <v>76990</v>
      </c>
      <c r="M70" s="21">
        <v>276.2</v>
      </c>
      <c r="N70" s="2" t="s">
        <v>80</v>
      </c>
    </row>
    <row r="71" s="2" customFormat="1" spans="1:14">
      <c r="A71" s="20">
        <v>45817</v>
      </c>
      <c r="B71" s="2" t="s">
        <v>76</v>
      </c>
      <c r="C71" s="2" t="s">
        <v>77</v>
      </c>
      <c r="D71" s="2">
        <v>1</v>
      </c>
      <c r="E71" s="2">
        <v>876</v>
      </c>
      <c r="F71" s="2">
        <v>163</v>
      </c>
      <c r="G71" s="2">
        <v>209475</v>
      </c>
      <c r="H71" s="2">
        <v>6</v>
      </c>
      <c r="I71" s="2" t="s">
        <v>78</v>
      </c>
      <c r="J71" s="3">
        <v>0.186073059360731</v>
      </c>
      <c r="K71" s="21">
        <v>1285.1226993865</v>
      </c>
      <c r="L71" s="21">
        <v>34912.5</v>
      </c>
      <c r="M71" s="21">
        <v>146</v>
      </c>
      <c r="N71" s="2" t="s">
        <v>79</v>
      </c>
    </row>
    <row r="72" s="2" customFormat="1" spans="1:14">
      <c r="A72" s="20">
        <v>45818</v>
      </c>
      <c r="B72" s="2" t="s">
        <v>76</v>
      </c>
      <c r="C72" s="2" t="s">
        <v>77</v>
      </c>
      <c r="D72" s="2">
        <v>1</v>
      </c>
      <c r="E72" s="2">
        <v>756</v>
      </c>
      <c r="F72" s="2">
        <v>159</v>
      </c>
      <c r="G72" s="2">
        <v>188868</v>
      </c>
      <c r="H72" s="2">
        <v>9</v>
      </c>
      <c r="I72" s="2" t="s">
        <v>78</v>
      </c>
      <c r="J72" s="3">
        <v>0.21031746031746</v>
      </c>
      <c r="K72" s="21">
        <v>1187.84905660377</v>
      </c>
      <c r="L72" s="21">
        <v>20985.3333333333</v>
      </c>
      <c r="M72" s="21">
        <v>84</v>
      </c>
      <c r="N72" s="2" t="s">
        <v>79</v>
      </c>
    </row>
    <row r="73" s="2" customFormat="1" spans="1:14">
      <c r="A73" s="20">
        <v>45819</v>
      </c>
      <c r="B73" s="2" t="s">
        <v>76</v>
      </c>
      <c r="C73" s="2" t="s">
        <v>77</v>
      </c>
      <c r="D73" s="2">
        <v>1</v>
      </c>
      <c r="E73" s="2">
        <v>736</v>
      </c>
      <c r="F73" s="2">
        <v>129</v>
      </c>
      <c r="G73" s="2">
        <v>215646</v>
      </c>
      <c r="H73" s="2">
        <v>7</v>
      </c>
      <c r="I73" s="2" t="s">
        <v>78</v>
      </c>
      <c r="J73" s="3">
        <v>0.175271739130435</v>
      </c>
      <c r="K73" s="21">
        <v>1671.67441860465</v>
      </c>
      <c r="L73" s="21">
        <v>30806.5714285714</v>
      </c>
      <c r="M73" s="21">
        <v>105.142857142857</v>
      </c>
      <c r="N73" s="2" t="s">
        <v>79</v>
      </c>
    </row>
    <row r="74" s="2" customFormat="1" spans="1:14">
      <c r="A74" s="20">
        <v>45820</v>
      </c>
      <c r="B74" s="2" t="s">
        <v>76</v>
      </c>
      <c r="C74" s="2" t="s">
        <v>77</v>
      </c>
      <c r="D74" s="2">
        <v>1</v>
      </c>
      <c r="E74" s="2">
        <v>778</v>
      </c>
      <c r="F74" s="2">
        <v>156</v>
      </c>
      <c r="G74" s="2">
        <v>176591</v>
      </c>
      <c r="H74" s="2">
        <v>4</v>
      </c>
      <c r="I74" s="2" t="s">
        <v>78</v>
      </c>
      <c r="J74" s="3">
        <v>0.200514138817481</v>
      </c>
      <c r="K74" s="21">
        <v>1131.99358974359</v>
      </c>
      <c r="L74" s="21">
        <v>44147.75</v>
      </c>
      <c r="M74" s="21">
        <v>194.5</v>
      </c>
      <c r="N74" s="2" t="s">
        <v>79</v>
      </c>
    </row>
    <row r="75" s="2" customFormat="1" spans="1:14">
      <c r="A75" s="20">
        <v>45821</v>
      </c>
      <c r="B75" s="2" t="s">
        <v>76</v>
      </c>
      <c r="C75" s="2" t="s">
        <v>77</v>
      </c>
      <c r="D75" s="2">
        <v>1</v>
      </c>
      <c r="E75" s="2">
        <v>607</v>
      </c>
      <c r="F75" s="2">
        <v>113</v>
      </c>
      <c r="G75" s="2">
        <v>154683</v>
      </c>
      <c r="H75" s="2">
        <v>4</v>
      </c>
      <c r="I75" s="2" t="s">
        <v>78</v>
      </c>
      <c r="J75" s="3">
        <v>0.186161449752883</v>
      </c>
      <c r="K75" s="21">
        <v>1368.87610619469</v>
      </c>
      <c r="L75" s="21">
        <v>38670.75</v>
      </c>
      <c r="M75" s="21">
        <v>151.75</v>
      </c>
      <c r="N75" s="2" t="s">
        <v>79</v>
      </c>
    </row>
    <row r="76" s="2" customFormat="1" spans="1:14">
      <c r="A76" s="20">
        <v>45822</v>
      </c>
      <c r="B76" s="2" t="s">
        <v>76</v>
      </c>
      <c r="C76" s="2" t="s">
        <v>77</v>
      </c>
      <c r="D76" s="2">
        <v>1</v>
      </c>
      <c r="E76" s="2">
        <v>999</v>
      </c>
      <c r="F76" s="2">
        <v>208</v>
      </c>
      <c r="G76" s="2">
        <v>246929</v>
      </c>
      <c r="H76" s="2">
        <v>7</v>
      </c>
      <c r="I76" s="2" t="s">
        <v>81</v>
      </c>
      <c r="J76" s="3">
        <v>0.208208208208208</v>
      </c>
      <c r="K76" s="21">
        <v>1187.15865384615</v>
      </c>
      <c r="L76" s="21">
        <v>35275.5714285714</v>
      </c>
      <c r="M76" s="21">
        <v>142.714285714286</v>
      </c>
      <c r="N76" s="2" t="s">
        <v>80</v>
      </c>
    </row>
    <row r="77" s="2" customFormat="1" spans="1:14">
      <c r="A77" s="20">
        <v>45823</v>
      </c>
      <c r="B77" s="2" t="s">
        <v>76</v>
      </c>
      <c r="C77" s="2" t="s">
        <v>77</v>
      </c>
      <c r="D77" s="2">
        <v>1</v>
      </c>
      <c r="E77" s="2">
        <v>909</v>
      </c>
      <c r="F77" s="2">
        <v>178</v>
      </c>
      <c r="G77" s="2">
        <v>297857</v>
      </c>
      <c r="H77" s="2">
        <v>7</v>
      </c>
      <c r="I77" s="2" t="s">
        <v>78</v>
      </c>
      <c r="J77" s="3">
        <v>0.195819581958196</v>
      </c>
      <c r="K77" s="21">
        <v>1673.35393258427</v>
      </c>
      <c r="L77" s="21">
        <v>42551</v>
      </c>
      <c r="M77" s="21">
        <v>129.857142857143</v>
      </c>
      <c r="N77" s="2" t="s">
        <v>80</v>
      </c>
    </row>
    <row r="78" s="2" customFormat="1" spans="1:14">
      <c r="A78" s="20">
        <v>45824</v>
      </c>
      <c r="B78" s="2" t="s">
        <v>76</v>
      </c>
      <c r="C78" s="2" t="s">
        <v>77</v>
      </c>
      <c r="D78" s="2">
        <v>1</v>
      </c>
      <c r="E78" s="2">
        <v>622</v>
      </c>
      <c r="F78" s="2">
        <v>118</v>
      </c>
      <c r="G78" s="2">
        <v>145520</v>
      </c>
      <c r="H78" s="2">
        <v>6</v>
      </c>
      <c r="I78" s="2" t="s">
        <v>78</v>
      </c>
      <c r="J78" s="3">
        <v>0.189710610932476</v>
      </c>
      <c r="K78" s="21">
        <v>1233.22033898305</v>
      </c>
      <c r="L78" s="21">
        <v>24253.3333333333</v>
      </c>
      <c r="M78" s="21">
        <v>103.666666666667</v>
      </c>
      <c r="N78" s="2" t="s">
        <v>79</v>
      </c>
    </row>
    <row r="79" s="2" customFormat="1" spans="1:14">
      <c r="A79" s="20">
        <v>45825</v>
      </c>
      <c r="B79" s="2" t="s">
        <v>76</v>
      </c>
      <c r="C79" s="2" t="s">
        <v>77</v>
      </c>
      <c r="D79" s="2">
        <v>1</v>
      </c>
      <c r="E79" s="2">
        <v>684</v>
      </c>
      <c r="F79" s="2">
        <v>143</v>
      </c>
      <c r="G79" s="2">
        <v>201389</v>
      </c>
      <c r="H79" s="2">
        <v>6</v>
      </c>
      <c r="I79" s="2" t="s">
        <v>78</v>
      </c>
      <c r="J79" s="3">
        <v>0.20906432748538</v>
      </c>
      <c r="K79" s="21">
        <v>1408.31468531468</v>
      </c>
      <c r="L79" s="21">
        <v>33564.8333333333</v>
      </c>
      <c r="M79" s="21">
        <v>114</v>
      </c>
      <c r="N79" s="2" t="s">
        <v>79</v>
      </c>
    </row>
    <row r="80" s="2" customFormat="1" spans="1:14">
      <c r="A80" s="20">
        <v>45826</v>
      </c>
      <c r="B80" s="2" t="s">
        <v>76</v>
      </c>
      <c r="C80" s="2" t="s">
        <v>77</v>
      </c>
      <c r="D80" s="2">
        <v>1</v>
      </c>
      <c r="E80" s="2">
        <v>1034</v>
      </c>
      <c r="F80" s="2">
        <v>185</v>
      </c>
      <c r="G80" s="2">
        <v>290911</v>
      </c>
      <c r="H80" s="2">
        <v>8</v>
      </c>
      <c r="I80" s="2" t="s">
        <v>78</v>
      </c>
      <c r="J80" s="3">
        <v>0.178916827852998</v>
      </c>
      <c r="K80" s="21">
        <v>1572.49189189189</v>
      </c>
      <c r="L80" s="21">
        <v>36363.875</v>
      </c>
      <c r="M80" s="21">
        <v>129.25</v>
      </c>
      <c r="N80" s="2" t="s">
        <v>79</v>
      </c>
    </row>
    <row r="81" s="2" customFormat="1" spans="1:14">
      <c r="A81" s="20">
        <v>45827</v>
      </c>
      <c r="B81" s="2" t="s">
        <v>76</v>
      </c>
      <c r="C81" s="2" t="s">
        <v>77</v>
      </c>
      <c r="D81" s="2">
        <v>1</v>
      </c>
      <c r="E81" s="2">
        <v>704</v>
      </c>
      <c r="F81" s="2">
        <v>144</v>
      </c>
      <c r="G81" s="2">
        <v>235834</v>
      </c>
      <c r="H81" s="2">
        <v>6</v>
      </c>
      <c r="I81" s="2" t="s">
        <v>78</v>
      </c>
      <c r="J81" s="3">
        <v>0.204545454545455</v>
      </c>
      <c r="K81" s="21">
        <v>1637.73611111111</v>
      </c>
      <c r="L81" s="21">
        <v>39305.6666666667</v>
      </c>
      <c r="M81" s="21">
        <v>117.333333333333</v>
      </c>
      <c r="N81" s="2" t="s">
        <v>79</v>
      </c>
    </row>
    <row r="82" s="2" customFormat="1" spans="1:14">
      <c r="A82" s="20">
        <v>45828</v>
      </c>
      <c r="B82" s="2" t="s">
        <v>76</v>
      </c>
      <c r="C82" s="2" t="s">
        <v>77</v>
      </c>
      <c r="D82" s="2">
        <v>1</v>
      </c>
      <c r="E82" s="2">
        <v>905</v>
      </c>
      <c r="F82" s="2">
        <v>196</v>
      </c>
      <c r="G82" s="2">
        <v>272816</v>
      </c>
      <c r="H82" s="2">
        <v>8</v>
      </c>
      <c r="I82" s="2" t="s">
        <v>78</v>
      </c>
      <c r="J82" s="3">
        <v>0.216574585635359</v>
      </c>
      <c r="K82" s="21">
        <v>1391.91836734694</v>
      </c>
      <c r="L82" s="21">
        <v>34102</v>
      </c>
      <c r="M82" s="21">
        <v>113.125</v>
      </c>
      <c r="N82" s="2" t="s">
        <v>79</v>
      </c>
    </row>
    <row r="83" s="2" customFormat="1" spans="1:14">
      <c r="A83" s="20">
        <v>45829</v>
      </c>
      <c r="B83" s="2" t="s">
        <v>76</v>
      </c>
      <c r="C83" s="2" t="s">
        <v>77</v>
      </c>
      <c r="D83" s="2">
        <v>1</v>
      </c>
      <c r="E83" s="2">
        <v>1278</v>
      </c>
      <c r="F83" s="2">
        <v>239</v>
      </c>
      <c r="G83" s="2">
        <v>360731</v>
      </c>
      <c r="H83" s="2">
        <v>8</v>
      </c>
      <c r="I83" s="2" t="s">
        <v>78</v>
      </c>
      <c r="J83" s="3">
        <v>0.187010954616588</v>
      </c>
      <c r="K83" s="21">
        <v>1509.33472803347</v>
      </c>
      <c r="L83" s="21">
        <v>45091.375</v>
      </c>
      <c r="M83" s="21">
        <v>159.75</v>
      </c>
      <c r="N83" s="2" t="s">
        <v>80</v>
      </c>
    </row>
    <row r="84" s="2" customFormat="1" spans="1:14">
      <c r="A84" s="20">
        <v>45830</v>
      </c>
      <c r="B84" s="2" t="s">
        <v>76</v>
      </c>
      <c r="C84" s="2" t="s">
        <v>77</v>
      </c>
      <c r="D84" s="2">
        <v>1</v>
      </c>
      <c r="E84" s="2">
        <v>1433</v>
      </c>
      <c r="F84" s="2">
        <v>286</v>
      </c>
      <c r="G84" s="2">
        <v>344572</v>
      </c>
      <c r="H84" s="2">
        <v>5</v>
      </c>
      <c r="I84" s="2" t="s">
        <v>81</v>
      </c>
      <c r="J84" s="3">
        <v>0.199581297976274</v>
      </c>
      <c r="K84" s="21">
        <v>1204.7972027972</v>
      </c>
      <c r="L84" s="21">
        <v>68914.4</v>
      </c>
      <c r="M84" s="21">
        <v>286.6</v>
      </c>
      <c r="N84" s="2" t="s">
        <v>80</v>
      </c>
    </row>
    <row r="85" s="2" customFormat="1" spans="1:14">
      <c r="A85" s="20">
        <v>45831</v>
      </c>
      <c r="B85" s="2" t="s">
        <v>76</v>
      </c>
      <c r="C85" s="2" t="s">
        <v>77</v>
      </c>
      <c r="D85" s="2">
        <v>1</v>
      </c>
      <c r="E85" s="2">
        <v>638</v>
      </c>
      <c r="F85" s="2">
        <v>112</v>
      </c>
      <c r="G85" s="2">
        <v>140294</v>
      </c>
      <c r="H85" s="2">
        <v>5</v>
      </c>
      <c r="I85" s="2" t="s">
        <v>78</v>
      </c>
      <c r="J85" s="3">
        <v>0.175548589341693</v>
      </c>
      <c r="K85" s="21">
        <v>1252.625</v>
      </c>
      <c r="L85" s="21">
        <v>28058.8</v>
      </c>
      <c r="M85" s="21">
        <v>127.6</v>
      </c>
      <c r="N85" s="2" t="s">
        <v>79</v>
      </c>
    </row>
    <row r="86" s="2" customFormat="1" spans="1:14">
      <c r="A86" s="20">
        <v>45832</v>
      </c>
      <c r="B86" s="2" t="s">
        <v>76</v>
      </c>
      <c r="C86" s="2" t="s">
        <v>77</v>
      </c>
      <c r="D86" s="2">
        <v>1</v>
      </c>
      <c r="E86" s="2">
        <v>663</v>
      </c>
      <c r="F86" s="2">
        <v>131</v>
      </c>
      <c r="G86" s="2">
        <v>189001</v>
      </c>
      <c r="H86" s="2">
        <v>8</v>
      </c>
      <c r="I86" s="2" t="s">
        <v>81</v>
      </c>
      <c r="J86" s="3">
        <v>0.197586726998492</v>
      </c>
      <c r="K86" s="21">
        <v>1442.75572519084</v>
      </c>
      <c r="L86" s="21">
        <v>23625.125</v>
      </c>
      <c r="M86" s="21">
        <v>82.875</v>
      </c>
      <c r="N86" s="2" t="s">
        <v>79</v>
      </c>
    </row>
    <row r="87" s="2" customFormat="1" spans="1:14">
      <c r="A87" s="20">
        <v>45833</v>
      </c>
      <c r="B87" s="2" t="s">
        <v>76</v>
      </c>
      <c r="C87" s="2" t="s">
        <v>77</v>
      </c>
      <c r="D87" s="2">
        <v>1</v>
      </c>
      <c r="E87" s="2">
        <v>703</v>
      </c>
      <c r="F87" s="2">
        <v>143</v>
      </c>
      <c r="G87" s="2">
        <v>219259</v>
      </c>
      <c r="H87" s="2">
        <v>7</v>
      </c>
      <c r="I87" s="2" t="s">
        <v>81</v>
      </c>
      <c r="J87" s="3">
        <v>0.203413940256046</v>
      </c>
      <c r="K87" s="21">
        <v>1533.27972027972</v>
      </c>
      <c r="L87" s="21">
        <v>31322.7142857143</v>
      </c>
      <c r="M87" s="21">
        <v>100.428571428571</v>
      </c>
      <c r="N87" s="2" t="s">
        <v>79</v>
      </c>
    </row>
    <row r="88" s="2" customFormat="1" spans="1:14">
      <c r="A88" s="20">
        <v>45834</v>
      </c>
      <c r="B88" s="2" t="s">
        <v>76</v>
      </c>
      <c r="C88" s="2" t="s">
        <v>77</v>
      </c>
      <c r="D88" s="2">
        <v>1</v>
      </c>
      <c r="E88" s="2">
        <v>723</v>
      </c>
      <c r="F88" s="2">
        <v>143</v>
      </c>
      <c r="G88" s="2">
        <v>170067</v>
      </c>
      <c r="H88" s="2">
        <v>6</v>
      </c>
      <c r="I88" s="2" t="s">
        <v>78</v>
      </c>
      <c r="J88" s="3">
        <v>0.197786998616874</v>
      </c>
      <c r="K88" s="21">
        <v>1189.27972027972</v>
      </c>
      <c r="L88" s="21">
        <v>28344.5</v>
      </c>
      <c r="M88" s="21">
        <v>120.5</v>
      </c>
      <c r="N88" s="2" t="s">
        <v>79</v>
      </c>
    </row>
    <row r="89" s="2" customFormat="1" spans="1:14">
      <c r="A89" s="20">
        <v>45835</v>
      </c>
      <c r="B89" s="2" t="s">
        <v>76</v>
      </c>
      <c r="C89" s="2" t="s">
        <v>77</v>
      </c>
      <c r="D89" s="2">
        <v>1</v>
      </c>
      <c r="E89" s="2">
        <v>614</v>
      </c>
      <c r="F89" s="2">
        <v>116</v>
      </c>
      <c r="G89" s="2">
        <v>158926</v>
      </c>
      <c r="H89" s="2">
        <v>9</v>
      </c>
      <c r="I89" s="2" t="s">
        <v>78</v>
      </c>
      <c r="J89" s="3">
        <v>0.188925081433225</v>
      </c>
      <c r="K89" s="21">
        <v>1370.05172413793</v>
      </c>
      <c r="L89" s="21">
        <v>17658.4444444444</v>
      </c>
      <c r="M89" s="21">
        <v>68.2222222222222</v>
      </c>
      <c r="N89" s="2" t="s">
        <v>79</v>
      </c>
    </row>
    <row r="90" s="2" customFormat="1" spans="1:14">
      <c r="A90" s="20">
        <v>45836</v>
      </c>
      <c r="B90" s="2" t="s">
        <v>76</v>
      </c>
      <c r="C90" s="2" t="s">
        <v>77</v>
      </c>
      <c r="D90" s="2">
        <v>1</v>
      </c>
      <c r="E90" s="2">
        <v>1221</v>
      </c>
      <c r="F90" s="2">
        <v>240</v>
      </c>
      <c r="G90" s="2">
        <v>310796</v>
      </c>
      <c r="H90" s="2">
        <v>4</v>
      </c>
      <c r="I90" s="2" t="s">
        <v>78</v>
      </c>
      <c r="J90" s="3">
        <v>0.196560196560196</v>
      </c>
      <c r="K90" s="21">
        <v>1294.98333333333</v>
      </c>
      <c r="L90" s="21">
        <v>77699</v>
      </c>
      <c r="M90" s="21">
        <v>305.25</v>
      </c>
      <c r="N90" s="2" t="s">
        <v>80</v>
      </c>
    </row>
    <row r="91" s="2" customFormat="1" spans="1:14">
      <c r="A91" s="20">
        <v>45837</v>
      </c>
      <c r="B91" s="2" t="s">
        <v>76</v>
      </c>
      <c r="C91" s="2" t="s">
        <v>77</v>
      </c>
      <c r="D91" s="2">
        <v>1</v>
      </c>
      <c r="E91" s="2">
        <v>1136</v>
      </c>
      <c r="F91" s="2">
        <v>205</v>
      </c>
      <c r="G91" s="2">
        <v>242331</v>
      </c>
      <c r="H91" s="2">
        <v>5</v>
      </c>
      <c r="I91" s="2" t="s">
        <v>78</v>
      </c>
      <c r="J91" s="3">
        <v>0.180457746478873</v>
      </c>
      <c r="K91" s="21">
        <v>1182.10243902439</v>
      </c>
      <c r="L91" s="21">
        <v>48466.2</v>
      </c>
      <c r="M91" s="21">
        <v>227.2</v>
      </c>
      <c r="N91" s="2" t="s">
        <v>80</v>
      </c>
    </row>
    <row r="92" s="2" customFormat="1" spans="1:14">
      <c r="A92" s="20">
        <v>45838</v>
      </c>
      <c r="B92" s="2" t="s">
        <v>76</v>
      </c>
      <c r="C92" s="2" t="s">
        <v>77</v>
      </c>
      <c r="D92" s="2">
        <v>1</v>
      </c>
      <c r="E92" s="2">
        <v>753</v>
      </c>
      <c r="F92" s="2">
        <v>157</v>
      </c>
      <c r="G92" s="2">
        <v>212612</v>
      </c>
      <c r="H92" s="2">
        <v>8</v>
      </c>
      <c r="I92" s="2" t="s">
        <v>78</v>
      </c>
      <c r="J92" s="3">
        <v>0.208499335989376</v>
      </c>
      <c r="K92" s="21">
        <v>1354.21656050955</v>
      </c>
      <c r="L92" s="21">
        <v>26576.5</v>
      </c>
      <c r="M92" s="21">
        <v>94.125</v>
      </c>
      <c r="N92" s="2" t="s">
        <v>79</v>
      </c>
    </row>
    <row r="93" s="2" customFormat="1" spans="1:14">
      <c r="A93" s="20">
        <v>45839</v>
      </c>
      <c r="B93" s="2" t="s">
        <v>76</v>
      </c>
      <c r="C93" s="2" t="s">
        <v>77</v>
      </c>
      <c r="D93" s="2">
        <v>1</v>
      </c>
      <c r="E93" s="2">
        <v>847</v>
      </c>
      <c r="F93" s="2">
        <v>184</v>
      </c>
      <c r="G93" s="2">
        <v>270785</v>
      </c>
      <c r="H93" s="2">
        <v>9</v>
      </c>
      <c r="I93" s="2" t="s">
        <v>78</v>
      </c>
      <c r="J93" s="3">
        <v>0.217237308146399</v>
      </c>
      <c r="K93" s="21">
        <v>1471.65760869565</v>
      </c>
      <c r="L93" s="21">
        <v>30087.2222222222</v>
      </c>
      <c r="M93" s="21">
        <v>94.1111111111111</v>
      </c>
      <c r="N93" s="2" t="s">
        <v>79</v>
      </c>
    </row>
    <row r="94" s="2" customFormat="1" spans="1:14">
      <c r="A94" s="20">
        <v>45840</v>
      </c>
      <c r="B94" s="2" t="s">
        <v>76</v>
      </c>
      <c r="C94" s="2" t="s">
        <v>77</v>
      </c>
      <c r="D94" s="2">
        <v>1</v>
      </c>
      <c r="E94" s="2">
        <v>818</v>
      </c>
      <c r="F94" s="2">
        <v>152</v>
      </c>
      <c r="G94" s="2">
        <v>231005</v>
      </c>
      <c r="H94" s="2">
        <v>4</v>
      </c>
      <c r="I94" s="2" t="s">
        <v>78</v>
      </c>
      <c r="J94" s="3">
        <v>0.185819070904646</v>
      </c>
      <c r="K94" s="21">
        <v>1519.7697368421</v>
      </c>
      <c r="L94" s="21">
        <v>57751.25</v>
      </c>
      <c r="M94" s="21">
        <v>204.5</v>
      </c>
      <c r="N94" s="2" t="s">
        <v>79</v>
      </c>
    </row>
    <row r="95" s="2" customFormat="1" spans="1:14">
      <c r="A95" s="20">
        <v>45841</v>
      </c>
      <c r="B95" s="2" t="s">
        <v>76</v>
      </c>
      <c r="C95" s="2" t="s">
        <v>77</v>
      </c>
      <c r="D95" s="2">
        <v>1</v>
      </c>
      <c r="E95" s="2">
        <v>893</v>
      </c>
      <c r="F95" s="2">
        <v>162</v>
      </c>
      <c r="G95" s="2">
        <v>178759</v>
      </c>
      <c r="H95" s="2">
        <v>5</v>
      </c>
      <c r="I95" s="2" t="s">
        <v>81</v>
      </c>
      <c r="J95" s="3">
        <v>0.181410974244121</v>
      </c>
      <c r="K95" s="21">
        <v>1103.45061728395</v>
      </c>
      <c r="L95" s="21">
        <v>35751.8</v>
      </c>
      <c r="M95" s="21">
        <v>178.6</v>
      </c>
      <c r="N95" s="2" t="s">
        <v>79</v>
      </c>
    </row>
    <row r="96" s="2" customFormat="1" spans="1:14">
      <c r="A96" s="20">
        <v>45842</v>
      </c>
      <c r="B96" s="2" t="s">
        <v>76</v>
      </c>
      <c r="C96" s="2" t="s">
        <v>77</v>
      </c>
      <c r="D96" s="2">
        <v>1</v>
      </c>
      <c r="E96" s="2">
        <v>793</v>
      </c>
      <c r="F96" s="2">
        <v>171</v>
      </c>
      <c r="G96" s="2">
        <v>262097</v>
      </c>
      <c r="H96" s="2">
        <v>8</v>
      </c>
      <c r="I96" s="2" t="s">
        <v>78</v>
      </c>
      <c r="J96" s="3">
        <v>0.215636822194199</v>
      </c>
      <c r="K96" s="21">
        <v>1532.73099415205</v>
      </c>
      <c r="L96" s="21">
        <v>32762.125</v>
      </c>
      <c r="M96" s="21">
        <v>99.125</v>
      </c>
      <c r="N96" s="2" t="s">
        <v>79</v>
      </c>
    </row>
    <row r="97" s="2" customFormat="1" spans="1:14">
      <c r="A97" s="20">
        <v>45843</v>
      </c>
      <c r="B97" s="2" t="s">
        <v>76</v>
      </c>
      <c r="C97" s="2" t="s">
        <v>77</v>
      </c>
      <c r="D97" s="2">
        <v>1</v>
      </c>
      <c r="E97" s="2">
        <v>1314</v>
      </c>
      <c r="F97" s="2">
        <v>246</v>
      </c>
      <c r="G97" s="2">
        <v>405535</v>
      </c>
      <c r="H97" s="2">
        <v>7</v>
      </c>
      <c r="I97" s="2" t="s">
        <v>78</v>
      </c>
      <c r="J97" s="3">
        <v>0.187214611872146</v>
      </c>
      <c r="K97" s="21">
        <v>1648.5162601626</v>
      </c>
      <c r="L97" s="21">
        <v>57933.5714285714</v>
      </c>
      <c r="M97" s="21">
        <v>187.714285714286</v>
      </c>
      <c r="N97" s="2" t="s">
        <v>80</v>
      </c>
    </row>
    <row r="98" s="2" customFormat="1" spans="1:14">
      <c r="A98" s="20">
        <v>45844</v>
      </c>
      <c r="B98" s="2" t="s">
        <v>76</v>
      </c>
      <c r="C98" s="2" t="s">
        <v>77</v>
      </c>
      <c r="D98" s="2">
        <v>1</v>
      </c>
      <c r="E98" s="2">
        <v>1253</v>
      </c>
      <c r="F98" s="2">
        <v>233</v>
      </c>
      <c r="G98" s="2">
        <v>260687</v>
      </c>
      <c r="H98" s="2">
        <v>5</v>
      </c>
      <c r="I98" s="2" t="s">
        <v>78</v>
      </c>
      <c r="J98" s="3">
        <v>0.185953711093376</v>
      </c>
      <c r="K98" s="21">
        <v>1118.82832618026</v>
      </c>
      <c r="L98" s="21">
        <v>52137.4</v>
      </c>
      <c r="M98" s="21">
        <v>250.6</v>
      </c>
      <c r="N98" s="2" t="s">
        <v>80</v>
      </c>
    </row>
    <row r="99" s="2" customFormat="1" spans="1:14">
      <c r="A99" s="20">
        <v>45845</v>
      </c>
      <c r="B99" s="2" t="s">
        <v>76</v>
      </c>
      <c r="C99" s="2" t="s">
        <v>77</v>
      </c>
      <c r="D99" s="2">
        <v>1</v>
      </c>
      <c r="E99" s="2">
        <v>842</v>
      </c>
      <c r="F99" s="2">
        <v>175</v>
      </c>
      <c r="G99" s="2">
        <v>265338</v>
      </c>
      <c r="H99" s="2">
        <v>8</v>
      </c>
      <c r="I99" s="2" t="s">
        <v>78</v>
      </c>
      <c r="J99" s="3">
        <v>0.207838479809976</v>
      </c>
      <c r="K99" s="21">
        <v>1516.21714285714</v>
      </c>
      <c r="L99" s="21">
        <v>33167.25</v>
      </c>
      <c r="M99" s="21">
        <v>105.25</v>
      </c>
      <c r="N99" s="2" t="s">
        <v>79</v>
      </c>
    </row>
    <row r="100" s="2" customFormat="1" spans="1:14">
      <c r="A100" s="20">
        <v>45846</v>
      </c>
      <c r="B100" s="2" t="s">
        <v>76</v>
      </c>
      <c r="C100" s="2" t="s">
        <v>77</v>
      </c>
      <c r="D100" s="2">
        <v>1</v>
      </c>
      <c r="E100" s="2">
        <v>856</v>
      </c>
      <c r="F100" s="2">
        <v>169</v>
      </c>
      <c r="G100" s="2">
        <v>286689</v>
      </c>
      <c r="H100" s="2">
        <v>7</v>
      </c>
      <c r="I100" s="2" t="s">
        <v>78</v>
      </c>
      <c r="J100" s="3">
        <v>0.197429906542056</v>
      </c>
      <c r="K100" s="21">
        <v>1696.38461538462</v>
      </c>
      <c r="L100" s="21">
        <v>40955.5714285714</v>
      </c>
      <c r="M100" s="21">
        <v>122.285714285714</v>
      </c>
      <c r="N100" s="2" t="s">
        <v>79</v>
      </c>
    </row>
    <row r="101" s="2" customFormat="1" spans="1:14">
      <c r="A101" s="20">
        <v>45847</v>
      </c>
      <c r="B101" s="2" t="s">
        <v>76</v>
      </c>
      <c r="C101" s="2" t="s">
        <v>77</v>
      </c>
      <c r="D101" s="2">
        <v>1</v>
      </c>
      <c r="E101" s="2">
        <v>858</v>
      </c>
      <c r="F101" s="2">
        <v>169</v>
      </c>
      <c r="G101" s="2">
        <v>217535</v>
      </c>
      <c r="H101" s="2">
        <v>7</v>
      </c>
      <c r="I101" s="2" t="s">
        <v>78</v>
      </c>
      <c r="J101" s="3">
        <v>0.196969696969697</v>
      </c>
      <c r="K101" s="21">
        <v>1287.18934911243</v>
      </c>
      <c r="L101" s="21">
        <v>31076.4285714286</v>
      </c>
      <c r="M101" s="21">
        <v>122.571428571429</v>
      </c>
      <c r="N101" s="2" t="s">
        <v>79</v>
      </c>
    </row>
    <row r="102" s="2" customFormat="1" spans="1:14">
      <c r="A102" s="20">
        <v>45848</v>
      </c>
      <c r="B102" s="2" t="s">
        <v>76</v>
      </c>
      <c r="C102" s="2" t="s">
        <v>77</v>
      </c>
      <c r="D102" s="2">
        <v>1</v>
      </c>
      <c r="E102" s="2">
        <v>843</v>
      </c>
      <c r="F102" s="2">
        <v>152</v>
      </c>
      <c r="G102" s="2">
        <v>245924</v>
      </c>
      <c r="H102" s="2">
        <v>7</v>
      </c>
      <c r="I102" s="2" t="s">
        <v>78</v>
      </c>
      <c r="J102" s="3">
        <v>0.180308422301305</v>
      </c>
      <c r="K102" s="21">
        <v>1617.92105263158</v>
      </c>
      <c r="L102" s="21">
        <v>35132</v>
      </c>
      <c r="M102" s="21">
        <v>120.428571428571</v>
      </c>
      <c r="N102" s="2" t="s">
        <v>79</v>
      </c>
    </row>
    <row r="103" s="2" customFormat="1" spans="1:14">
      <c r="A103" s="20">
        <v>45849</v>
      </c>
      <c r="B103" s="2" t="s">
        <v>76</v>
      </c>
      <c r="C103" s="2" t="s">
        <v>77</v>
      </c>
      <c r="D103" s="2">
        <v>1</v>
      </c>
      <c r="E103" s="2">
        <v>837</v>
      </c>
      <c r="F103" s="2">
        <v>161</v>
      </c>
      <c r="G103" s="2">
        <v>269543</v>
      </c>
      <c r="H103" s="2">
        <v>5</v>
      </c>
      <c r="I103" s="2" t="s">
        <v>78</v>
      </c>
      <c r="J103" s="3">
        <v>0.192353643966547</v>
      </c>
      <c r="K103" s="21">
        <v>1674.1801242236</v>
      </c>
      <c r="L103" s="21">
        <v>53908.6</v>
      </c>
      <c r="M103" s="21">
        <v>167.4</v>
      </c>
      <c r="N103" s="2" t="s">
        <v>79</v>
      </c>
    </row>
    <row r="104" s="2" customFormat="1" spans="1:14">
      <c r="A104" s="20">
        <v>45850</v>
      </c>
      <c r="B104" s="2" t="s">
        <v>76</v>
      </c>
      <c r="C104" s="2" t="s">
        <v>77</v>
      </c>
      <c r="D104" s="2">
        <v>1</v>
      </c>
      <c r="E104" s="2">
        <v>1107</v>
      </c>
      <c r="F104" s="2">
        <v>207</v>
      </c>
      <c r="G104" s="2">
        <v>304349</v>
      </c>
      <c r="H104" s="2">
        <v>8</v>
      </c>
      <c r="I104" s="2" t="s">
        <v>78</v>
      </c>
      <c r="J104" s="3">
        <v>0.186991869918699</v>
      </c>
      <c r="K104" s="21">
        <v>1470.28502415459</v>
      </c>
      <c r="L104" s="21">
        <v>38043.625</v>
      </c>
      <c r="M104" s="21">
        <v>138.375</v>
      </c>
      <c r="N104" s="2" t="s">
        <v>80</v>
      </c>
    </row>
    <row r="105" s="2" customFormat="1" spans="1:14">
      <c r="A105" s="20">
        <v>45851</v>
      </c>
      <c r="B105" s="2" t="s">
        <v>76</v>
      </c>
      <c r="C105" s="2" t="s">
        <v>77</v>
      </c>
      <c r="D105" s="2">
        <v>1</v>
      </c>
      <c r="E105" s="2">
        <v>1102</v>
      </c>
      <c r="F105" s="2">
        <v>229</v>
      </c>
      <c r="G105" s="2">
        <v>259824</v>
      </c>
      <c r="H105" s="2">
        <v>8</v>
      </c>
      <c r="I105" s="2" t="s">
        <v>78</v>
      </c>
      <c r="J105" s="3">
        <v>0.207803992740472</v>
      </c>
      <c r="K105" s="21">
        <v>1134.60262008734</v>
      </c>
      <c r="L105" s="21">
        <v>32478</v>
      </c>
      <c r="M105" s="21">
        <v>137.75</v>
      </c>
      <c r="N105" s="2" t="s">
        <v>80</v>
      </c>
    </row>
    <row r="106" s="2" customFormat="1" spans="1:14">
      <c r="A106" s="20">
        <v>45852</v>
      </c>
      <c r="B106" s="2" t="s">
        <v>76</v>
      </c>
      <c r="C106" s="2" t="s">
        <v>77</v>
      </c>
      <c r="D106" s="2">
        <v>1</v>
      </c>
      <c r="E106" s="2">
        <v>814</v>
      </c>
      <c r="F106" s="2">
        <v>180</v>
      </c>
      <c r="G106" s="2">
        <v>242839</v>
      </c>
      <c r="H106" s="2">
        <v>9</v>
      </c>
      <c r="I106" s="2" t="s">
        <v>78</v>
      </c>
      <c r="J106" s="3">
        <v>0.221130221130221</v>
      </c>
      <c r="K106" s="21">
        <v>1349.10555555556</v>
      </c>
      <c r="L106" s="21">
        <v>26982.1111111111</v>
      </c>
      <c r="M106" s="21">
        <v>90.4444444444444</v>
      </c>
      <c r="N106" s="2" t="s">
        <v>79</v>
      </c>
    </row>
    <row r="107" s="2" customFormat="1" spans="1:14">
      <c r="A107" s="20">
        <v>45853</v>
      </c>
      <c r="B107" s="2" t="s">
        <v>76</v>
      </c>
      <c r="C107" s="2" t="s">
        <v>77</v>
      </c>
      <c r="D107" s="2">
        <v>1</v>
      </c>
      <c r="E107" s="2">
        <v>898</v>
      </c>
      <c r="F107" s="2">
        <v>152</v>
      </c>
      <c r="G107" s="2">
        <v>204217</v>
      </c>
      <c r="H107" s="2">
        <v>5</v>
      </c>
      <c r="I107" s="2" t="s">
        <v>78</v>
      </c>
      <c r="J107" s="3">
        <v>0.169265033407572</v>
      </c>
      <c r="K107" s="21">
        <v>1343.53289473684</v>
      </c>
      <c r="L107" s="21">
        <v>40843.4</v>
      </c>
      <c r="M107" s="21">
        <v>179.6</v>
      </c>
      <c r="N107" s="2" t="s">
        <v>79</v>
      </c>
    </row>
    <row r="108" s="2" customFormat="1" spans="1:14">
      <c r="A108" s="20">
        <v>45854</v>
      </c>
      <c r="B108" s="2" t="s">
        <v>76</v>
      </c>
      <c r="C108" s="2" t="s">
        <v>77</v>
      </c>
      <c r="D108" s="2">
        <v>1</v>
      </c>
      <c r="E108" s="2">
        <v>861</v>
      </c>
      <c r="F108" s="2">
        <v>163</v>
      </c>
      <c r="G108" s="2">
        <v>215358</v>
      </c>
      <c r="H108" s="2">
        <v>8</v>
      </c>
      <c r="I108" s="2" t="s">
        <v>78</v>
      </c>
      <c r="J108" s="3">
        <v>0.18931475029036</v>
      </c>
      <c r="K108" s="21">
        <v>1321.21472392638</v>
      </c>
      <c r="L108" s="21">
        <v>26919.75</v>
      </c>
      <c r="M108" s="21">
        <v>107.625</v>
      </c>
      <c r="N108" s="2" t="s">
        <v>79</v>
      </c>
    </row>
    <row r="109" s="2" customFormat="1" spans="1:14">
      <c r="A109" s="20">
        <v>45855</v>
      </c>
      <c r="B109" s="2" t="s">
        <v>76</v>
      </c>
      <c r="C109" s="2" t="s">
        <v>77</v>
      </c>
      <c r="D109" s="2">
        <v>1</v>
      </c>
      <c r="E109" s="2">
        <v>992</v>
      </c>
      <c r="F109" s="2">
        <v>203</v>
      </c>
      <c r="G109" s="2">
        <v>339403</v>
      </c>
      <c r="H109" s="2">
        <v>9</v>
      </c>
      <c r="I109" s="2" t="s">
        <v>78</v>
      </c>
      <c r="J109" s="3">
        <v>0.204637096774194</v>
      </c>
      <c r="K109" s="21">
        <v>1671.93596059113</v>
      </c>
      <c r="L109" s="21">
        <v>37711.4444444445</v>
      </c>
      <c r="M109" s="21">
        <v>110.222222222222</v>
      </c>
      <c r="N109" s="2" t="s">
        <v>79</v>
      </c>
    </row>
    <row r="110" s="2" customFormat="1" spans="1:14">
      <c r="A110" s="20">
        <v>45856</v>
      </c>
      <c r="B110" s="2" t="s">
        <v>76</v>
      </c>
      <c r="C110" s="2" t="s">
        <v>77</v>
      </c>
      <c r="D110" s="2">
        <v>1</v>
      </c>
      <c r="E110" s="2">
        <v>967</v>
      </c>
      <c r="F110" s="2">
        <v>186</v>
      </c>
      <c r="G110" s="2">
        <v>210688</v>
      </c>
      <c r="H110" s="2">
        <v>4</v>
      </c>
      <c r="I110" s="2" t="s">
        <v>78</v>
      </c>
      <c r="J110" s="3">
        <v>0.1923474663909</v>
      </c>
      <c r="K110" s="21">
        <v>1132.7311827957</v>
      </c>
      <c r="L110" s="21">
        <v>52672</v>
      </c>
      <c r="M110" s="21">
        <v>241.75</v>
      </c>
      <c r="N110" s="2" t="s">
        <v>79</v>
      </c>
    </row>
    <row r="111" s="2" customFormat="1" spans="1:14">
      <c r="A111" s="20">
        <v>45857</v>
      </c>
      <c r="B111" s="2" t="s">
        <v>76</v>
      </c>
      <c r="C111" s="2" t="s">
        <v>77</v>
      </c>
      <c r="D111" s="2">
        <v>1</v>
      </c>
      <c r="E111" s="2">
        <v>888</v>
      </c>
      <c r="F111" s="2">
        <v>159</v>
      </c>
      <c r="G111" s="2">
        <v>217574</v>
      </c>
      <c r="H111" s="2">
        <v>7</v>
      </c>
      <c r="I111" s="2" t="s">
        <v>78</v>
      </c>
      <c r="J111" s="3">
        <v>0.179054054054054</v>
      </c>
      <c r="K111" s="21">
        <v>1368.38993710692</v>
      </c>
      <c r="L111" s="21">
        <v>31082</v>
      </c>
      <c r="M111" s="21">
        <v>126.857142857143</v>
      </c>
      <c r="N111" s="2" t="s">
        <v>80</v>
      </c>
    </row>
    <row r="112" s="2" customFormat="1" spans="1:14">
      <c r="A112" s="20">
        <v>45858</v>
      </c>
      <c r="B112" s="2" t="s">
        <v>76</v>
      </c>
      <c r="C112" s="2" t="s">
        <v>77</v>
      </c>
      <c r="D112" s="2">
        <v>1</v>
      </c>
      <c r="E112" s="2">
        <v>1070</v>
      </c>
      <c r="F112" s="2">
        <v>214</v>
      </c>
      <c r="G112" s="2">
        <v>249540</v>
      </c>
      <c r="H112" s="2">
        <v>9</v>
      </c>
      <c r="I112" s="2" t="s">
        <v>78</v>
      </c>
      <c r="J112" s="3">
        <v>0.2</v>
      </c>
      <c r="K112" s="21">
        <v>1166.07476635514</v>
      </c>
      <c r="L112" s="21">
        <v>27726.6666666667</v>
      </c>
      <c r="M112" s="21">
        <v>118.888888888889</v>
      </c>
      <c r="N112" s="2" t="s">
        <v>80</v>
      </c>
    </row>
    <row r="113" s="2" customFormat="1" spans="1:14">
      <c r="A113" s="20">
        <v>45859</v>
      </c>
      <c r="B113" s="2" t="s">
        <v>76</v>
      </c>
      <c r="C113" s="2" t="s">
        <v>77</v>
      </c>
      <c r="D113" s="2">
        <v>1</v>
      </c>
      <c r="E113" s="2">
        <v>851</v>
      </c>
      <c r="F113" s="2">
        <v>153</v>
      </c>
      <c r="G113" s="2">
        <v>221640</v>
      </c>
      <c r="H113" s="2">
        <v>4</v>
      </c>
      <c r="I113" s="2" t="s">
        <v>81</v>
      </c>
      <c r="J113" s="3">
        <v>0.17978848413631</v>
      </c>
      <c r="K113" s="21">
        <v>1448.62745098039</v>
      </c>
      <c r="L113" s="21">
        <v>55410</v>
      </c>
      <c r="M113" s="21">
        <v>212.75</v>
      </c>
      <c r="N113" s="2" t="s">
        <v>79</v>
      </c>
    </row>
    <row r="114" s="2" customFormat="1" spans="1:14">
      <c r="A114" s="20">
        <v>45860</v>
      </c>
      <c r="B114" s="2" t="s">
        <v>76</v>
      </c>
      <c r="C114" s="2" t="s">
        <v>77</v>
      </c>
      <c r="D114" s="2">
        <v>1</v>
      </c>
      <c r="E114" s="2">
        <v>815</v>
      </c>
      <c r="F114" s="2">
        <v>167</v>
      </c>
      <c r="G114" s="2">
        <v>205629</v>
      </c>
      <c r="H114" s="2">
        <v>6</v>
      </c>
      <c r="I114" s="2" t="s">
        <v>78</v>
      </c>
      <c r="J114" s="3">
        <v>0.204907975460123</v>
      </c>
      <c r="K114" s="21">
        <v>1231.31137724551</v>
      </c>
      <c r="L114" s="21">
        <v>34271.5</v>
      </c>
      <c r="M114" s="21">
        <v>135.833333333333</v>
      </c>
      <c r="N114" s="2" t="s">
        <v>79</v>
      </c>
    </row>
    <row r="115" s="2" customFormat="1" spans="1:14">
      <c r="A115" s="20">
        <v>45861</v>
      </c>
      <c r="B115" s="2" t="s">
        <v>76</v>
      </c>
      <c r="C115" s="2" t="s">
        <v>77</v>
      </c>
      <c r="D115" s="2">
        <v>1</v>
      </c>
      <c r="E115" s="2">
        <v>896</v>
      </c>
      <c r="F115" s="2">
        <v>157</v>
      </c>
      <c r="G115" s="2">
        <v>249368</v>
      </c>
      <c r="H115" s="2">
        <v>7</v>
      </c>
      <c r="I115" s="2" t="s">
        <v>78</v>
      </c>
      <c r="J115" s="3">
        <v>0.175223214285714</v>
      </c>
      <c r="K115" s="21">
        <v>1588.33121019108</v>
      </c>
      <c r="L115" s="21">
        <v>35624</v>
      </c>
      <c r="M115" s="21">
        <v>128</v>
      </c>
      <c r="N115" s="2" t="s">
        <v>79</v>
      </c>
    </row>
    <row r="116" s="2" customFormat="1" spans="1:14">
      <c r="A116" s="20">
        <v>45862</v>
      </c>
      <c r="B116" s="2" t="s">
        <v>76</v>
      </c>
      <c r="C116" s="2" t="s">
        <v>77</v>
      </c>
      <c r="D116" s="2">
        <v>1</v>
      </c>
      <c r="E116" s="2">
        <v>880</v>
      </c>
      <c r="F116" s="2">
        <v>191</v>
      </c>
      <c r="G116" s="2">
        <v>299743</v>
      </c>
      <c r="H116" s="2">
        <v>8</v>
      </c>
      <c r="I116" s="2" t="s">
        <v>78</v>
      </c>
      <c r="J116" s="3">
        <v>0.217045454545455</v>
      </c>
      <c r="K116" s="21">
        <v>1569.33507853403</v>
      </c>
      <c r="L116" s="21">
        <v>37467.875</v>
      </c>
      <c r="M116" s="21">
        <v>110</v>
      </c>
      <c r="N116" s="2" t="s">
        <v>79</v>
      </c>
    </row>
    <row r="117" s="2" customFormat="1" spans="1:14">
      <c r="A117" s="20">
        <v>45863</v>
      </c>
      <c r="B117" s="2" t="s">
        <v>76</v>
      </c>
      <c r="C117" s="2" t="s">
        <v>77</v>
      </c>
      <c r="D117" s="2">
        <v>1</v>
      </c>
      <c r="E117" s="2">
        <v>751</v>
      </c>
      <c r="F117" s="2">
        <v>157</v>
      </c>
      <c r="G117" s="2">
        <v>233696</v>
      </c>
      <c r="H117" s="2">
        <v>6</v>
      </c>
      <c r="I117" s="2" t="s">
        <v>78</v>
      </c>
      <c r="J117" s="3">
        <v>0.209054593874833</v>
      </c>
      <c r="K117" s="21">
        <v>1488.50955414013</v>
      </c>
      <c r="L117" s="21">
        <v>38949.3333333333</v>
      </c>
      <c r="M117" s="21">
        <v>125.166666666667</v>
      </c>
      <c r="N117" s="2" t="s">
        <v>79</v>
      </c>
    </row>
    <row r="118" s="2" customFormat="1" spans="1:14">
      <c r="A118" s="20">
        <v>45864</v>
      </c>
      <c r="B118" s="2" t="s">
        <v>76</v>
      </c>
      <c r="C118" s="2" t="s">
        <v>77</v>
      </c>
      <c r="D118" s="2">
        <v>1</v>
      </c>
      <c r="E118" s="2">
        <v>1269</v>
      </c>
      <c r="F118" s="2">
        <v>222</v>
      </c>
      <c r="G118" s="2">
        <v>284594</v>
      </c>
      <c r="H118" s="2">
        <v>5</v>
      </c>
      <c r="I118" s="2" t="s">
        <v>78</v>
      </c>
      <c r="J118" s="3">
        <v>0.174940898345154</v>
      </c>
      <c r="K118" s="21">
        <v>1281.95495495495</v>
      </c>
      <c r="L118" s="21">
        <v>56918.8</v>
      </c>
      <c r="M118" s="21">
        <v>253.8</v>
      </c>
      <c r="N118" s="2" t="s">
        <v>80</v>
      </c>
    </row>
    <row r="119" s="2" customFormat="1" spans="1:14">
      <c r="A119" s="20">
        <v>45865</v>
      </c>
      <c r="B119" s="2" t="s">
        <v>76</v>
      </c>
      <c r="C119" s="2" t="s">
        <v>77</v>
      </c>
      <c r="D119" s="2">
        <v>1</v>
      </c>
      <c r="E119" s="2">
        <v>1048</v>
      </c>
      <c r="F119" s="2">
        <v>223</v>
      </c>
      <c r="G119" s="2">
        <v>289026</v>
      </c>
      <c r="H119" s="2">
        <v>7</v>
      </c>
      <c r="I119" s="2" t="s">
        <v>81</v>
      </c>
      <c r="J119" s="3">
        <v>0.212786259541985</v>
      </c>
      <c r="K119" s="21">
        <v>1296.08071748879</v>
      </c>
      <c r="L119" s="21">
        <v>41289.4285714286</v>
      </c>
      <c r="M119" s="21">
        <v>149.714285714286</v>
      </c>
      <c r="N119" s="2" t="s">
        <v>80</v>
      </c>
    </row>
    <row r="120" s="2" customFormat="1" spans="1:14">
      <c r="A120" s="20">
        <v>45866</v>
      </c>
      <c r="B120" s="2" t="s">
        <v>76</v>
      </c>
      <c r="C120" s="2" t="s">
        <v>77</v>
      </c>
      <c r="D120" s="2">
        <v>1</v>
      </c>
      <c r="E120" s="2">
        <v>837</v>
      </c>
      <c r="F120" s="2">
        <v>163</v>
      </c>
      <c r="G120" s="2">
        <v>190306</v>
      </c>
      <c r="H120" s="2">
        <v>6</v>
      </c>
      <c r="I120" s="2" t="s">
        <v>78</v>
      </c>
      <c r="J120" s="3">
        <v>0.194743130227001</v>
      </c>
      <c r="K120" s="21">
        <v>1167.52147239264</v>
      </c>
      <c r="L120" s="21">
        <v>31717.6666666667</v>
      </c>
      <c r="M120" s="21">
        <v>139.5</v>
      </c>
      <c r="N120" s="2" t="s">
        <v>79</v>
      </c>
    </row>
    <row r="121" s="2" customFormat="1" spans="1:14">
      <c r="A121" s="20">
        <v>45867</v>
      </c>
      <c r="B121" s="2" t="s">
        <v>76</v>
      </c>
      <c r="C121" s="2" t="s">
        <v>77</v>
      </c>
      <c r="D121" s="2">
        <v>1</v>
      </c>
      <c r="E121" s="2">
        <v>682</v>
      </c>
      <c r="F121" s="2">
        <v>118</v>
      </c>
      <c r="G121" s="2">
        <v>148406</v>
      </c>
      <c r="H121" s="2">
        <v>4</v>
      </c>
      <c r="I121" s="2" t="s">
        <v>78</v>
      </c>
      <c r="J121" s="3">
        <v>0.173020527859237</v>
      </c>
      <c r="K121" s="21">
        <v>1257.67796610169</v>
      </c>
      <c r="L121" s="21">
        <v>37101.5</v>
      </c>
      <c r="M121" s="21">
        <v>170.5</v>
      </c>
      <c r="N121" s="2" t="s">
        <v>79</v>
      </c>
    </row>
    <row r="122" s="2" customFormat="1" spans="1:14">
      <c r="A122" s="20">
        <v>45868</v>
      </c>
      <c r="B122" s="2" t="s">
        <v>76</v>
      </c>
      <c r="C122" s="2" t="s">
        <v>77</v>
      </c>
      <c r="D122" s="2">
        <v>1</v>
      </c>
      <c r="E122" s="2">
        <v>814</v>
      </c>
      <c r="F122" s="2">
        <v>162</v>
      </c>
      <c r="G122" s="2">
        <v>192834</v>
      </c>
      <c r="H122" s="2">
        <v>7</v>
      </c>
      <c r="I122" s="2" t="s">
        <v>78</v>
      </c>
      <c r="J122" s="3">
        <v>0.199017199017199</v>
      </c>
      <c r="K122" s="21">
        <v>1190.33333333333</v>
      </c>
      <c r="L122" s="21">
        <v>27547.7142857143</v>
      </c>
      <c r="M122" s="21">
        <v>116.285714285714</v>
      </c>
      <c r="N122" s="2" t="s">
        <v>79</v>
      </c>
    </row>
    <row r="123" s="2" customFormat="1" spans="1:14">
      <c r="A123" s="20">
        <v>45869</v>
      </c>
      <c r="B123" s="2" t="s">
        <v>76</v>
      </c>
      <c r="C123" s="2" t="s">
        <v>77</v>
      </c>
      <c r="D123" s="2">
        <v>1</v>
      </c>
      <c r="E123" s="2">
        <v>901</v>
      </c>
      <c r="F123" s="2">
        <v>164</v>
      </c>
      <c r="G123" s="2">
        <v>202501</v>
      </c>
      <c r="H123" s="2">
        <v>8</v>
      </c>
      <c r="I123" s="2" t="s">
        <v>78</v>
      </c>
      <c r="J123" s="3">
        <v>0.182019977802442</v>
      </c>
      <c r="K123" s="21">
        <v>1234.76219512195</v>
      </c>
      <c r="L123" s="21">
        <v>25312.625</v>
      </c>
      <c r="M123" s="21">
        <v>112.625</v>
      </c>
      <c r="N123" s="2" t="s">
        <v>79</v>
      </c>
    </row>
    <row r="124" s="2" customFormat="1" spans="1:14">
      <c r="A124" s="20">
        <v>45870</v>
      </c>
      <c r="B124" s="2" t="s">
        <v>76</v>
      </c>
      <c r="C124" s="2" t="s">
        <v>77</v>
      </c>
      <c r="D124" s="2">
        <v>1</v>
      </c>
      <c r="E124" s="2">
        <v>922</v>
      </c>
      <c r="F124" s="2">
        <v>168</v>
      </c>
      <c r="G124" s="2">
        <v>200324</v>
      </c>
      <c r="H124" s="2">
        <v>4</v>
      </c>
      <c r="I124" s="2" t="s">
        <v>78</v>
      </c>
      <c r="J124" s="3">
        <v>0.182212581344902</v>
      </c>
      <c r="K124" s="21">
        <v>1192.40476190476</v>
      </c>
      <c r="L124" s="21">
        <v>50081</v>
      </c>
      <c r="M124" s="21">
        <v>230.5</v>
      </c>
      <c r="N124" s="2" t="s">
        <v>79</v>
      </c>
    </row>
    <row r="125" s="2" customFormat="1" spans="1:14">
      <c r="A125" s="20">
        <v>45871</v>
      </c>
      <c r="B125" s="2" t="s">
        <v>76</v>
      </c>
      <c r="C125" s="2" t="s">
        <v>77</v>
      </c>
      <c r="D125" s="2">
        <v>1</v>
      </c>
      <c r="E125" s="2">
        <v>1079</v>
      </c>
      <c r="F125" s="2">
        <v>202</v>
      </c>
      <c r="G125" s="2">
        <v>257360</v>
      </c>
      <c r="H125" s="2">
        <v>6</v>
      </c>
      <c r="I125" s="2" t="s">
        <v>78</v>
      </c>
      <c r="J125" s="3">
        <v>0.187210379981464</v>
      </c>
      <c r="K125" s="21">
        <v>1274.05940594059</v>
      </c>
      <c r="L125" s="21">
        <v>42893.3333333333</v>
      </c>
      <c r="M125" s="21">
        <v>179.833333333333</v>
      </c>
      <c r="N125" s="2" t="s">
        <v>80</v>
      </c>
    </row>
    <row r="126" s="2" customFormat="1" spans="1:14">
      <c r="A126" s="20">
        <v>45872</v>
      </c>
      <c r="B126" s="2" t="s">
        <v>76</v>
      </c>
      <c r="C126" s="2" t="s">
        <v>77</v>
      </c>
      <c r="D126" s="2">
        <v>1</v>
      </c>
      <c r="E126" s="2">
        <v>1216</v>
      </c>
      <c r="F126" s="2">
        <v>268</v>
      </c>
      <c r="G126" s="2">
        <v>395704</v>
      </c>
      <c r="H126" s="2">
        <v>9</v>
      </c>
      <c r="I126" s="2" t="s">
        <v>78</v>
      </c>
      <c r="J126" s="3">
        <v>0.220394736842105</v>
      </c>
      <c r="K126" s="21">
        <v>1476.50746268657</v>
      </c>
      <c r="L126" s="21">
        <v>43967.1111111111</v>
      </c>
      <c r="M126" s="21">
        <v>135.111111111111</v>
      </c>
      <c r="N126" s="2" t="s">
        <v>80</v>
      </c>
    </row>
    <row r="127" s="2" customFormat="1" spans="1:14">
      <c r="A127" s="20">
        <v>45873</v>
      </c>
      <c r="B127" s="2" t="s">
        <v>76</v>
      </c>
      <c r="C127" s="2" t="s">
        <v>77</v>
      </c>
      <c r="D127" s="2">
        <v>1</v>
      </c>
      <c r="E127" s="2">
        <v>906</v>
      </c>
      <c r="F127" s="2">
        <v>166</v>
      </c>
      <c r="G127" s="2">
        <v>281918</v>
      </c>
      <c r="H127" s="2">
        <v>4</v>
      </c>
      <c r="I127" s="2" t="s">
        <v>78</v>
      </c>
      <c r="J127" s="3">
        <v>0.183222958057395</v>
      </c>
      <c r="K127" s="21">
        <v>1698.30120481928</v>
      </c>
      <c r="L127" s="21">
        <v>70479.5</v>
      </c>
      <c r="M127" s="21">
        <v>226.5</v>
      </c>
      <c r="N127" s="2" t="s">
        <v>79</v>
      </c>
    </row>
    <row r="128" s="2" customFormat="1" spans="1:14">
      <c r="A128" s="20">
        <v>45874</v>
      </c>
      <c r="B128" s="2" t="s">
        <v>76</v>
      </c>
      <c r="C128" s="2" t="s">
        <v>77</v>
      </c>
      <c r="D128" s="2">
        <v>1</v>
      </c>
      <c r="E128" s="2">
        <v>827</v>
      </c>
      <c r="F128" s="2">
        <v>140</v>
      </c>
      <c r="G128" s="2">
        <v>194246</v>
      </c>
      <c r="H128" s="2">
        <v>4</v>
      </c>
      <c r="I128" s="2" t="s">
        <v>78</v>
      </c>
      <c r="J128" s="3">
        <v>0.169286577992745</v>
      </c>
      <c r="K128" s="21">
        <v>1387.47142857143</v>
      </c>
      <c r="L128" s="21">
        <v>48561.5</v>
      </c>
      <c r="M128" s="21">
        <v>206.75</v>
      </c>
      <c r="N128" s="2" t="s">
        <v>79</v>
      </c>
    </row>
    <row r="129" s="2" customFormat="1" spans="1:14">
      <c r="A129" s="20">
        <v>45875</v>
      </c>
      <c r="B129" s="2" t="s">
        <v>76</v>
      </c>
      <c r="C129" s="2" t="s">
        <v>77</v>
      </c>
      <c r="D129" s="2">
        <v>1</v>
      </c>
      <c r="E129" s="2">
        <v>767</v>
      </c>
      <c r="F129" s="2">
        <v>156</v>
      </c>
      <c r="G129" s="2">
        <v>255501</v>
      </c>
      <c r="H129" s="2">
        <v>9</v>
      </c>
      <c r="I129" s="2" t="s">
        <v>81</v>
      </c>
      <c r="J129" s="3">
        <v>0.203389830508475</v>
      </c>
      <c r="K129" s="21">
        <v>1637.82692307692</v>
      </c>
      <c r="L129" s="21">
        <v>28389</v>
      </c>
      <c r="M129" s="21">
        <v>85.2222222222222</v>
      </c>
      <c r="N129" s="2" t="s">
        <v>79</v>
      </c>
    </row>
    <row r="130" s="2" customFormat="1" spans="1:14">
      <c r="A130" s="20">
        <v>45876</v>
      </c>
      <c r="B130" s="2" t="s">
        <v>76</v>
      </c>
      <c r="C130" s="2" t="s">
        <v>77</v>
      </c>
      <c r="D130" s="2">
        <v>1</v>
      </c>
      <c r="E130" s="2">
        <v>819</v>
      </c>
      <c r="F130" s="2">
        <v>153</v>
      </c>
      <c r="G130" s="2">
        <v>191355</v>
      </c>
      <c r="H130" s="2">
        <v>4</v>
      </c>
      <c r="I130" s="2" t="s">
        <v>78</v>
      </c>
      <c r="J130" s="3">
        <v>0.186813186813187</v>
      </c>
      <c r="K130" s="21">
        <v>1250.6862745098</v>
      </c>
      <c r="L130" s="21">
        <v>47838.75</v>
      </c>
      <c r="M130" s="21">
        <v>204.75</v>
      </c>
      <c r="N130" s="2" t="s">
        <v>79</v>
      </c>
    </row>
    <row r="131" s="2" customFormat="1" spans="1:14">
      <c r="A131" s="20">
        <v>45877</v>
      </c>
      <c r="B131" s="2" t="s">
        <v>76</v>
      </c>
      <c r="C131" s="2" t="s">
        <v>77</v>
      </c>
      <c r="D131" s="2">
        <v>1</v>
      </c>
      <c r="E131" s="2">
        <v>837</v>
      </c>
      <c r="F131" s="2">
        <v>170</v>
      </c>
      <c r="G131" s="2">
        <v>223002</v>
      </c>
      <c r="H131" s="2">
        <v>7</v>
      </c>
      <c r="I131" s="2" t="s">
        <v>78</v>
      </c>
      <c r="J131" s="3">
        <v>0.20310633213859</v>
      </c>
      <c r="K131" s="21">
        <v>1311.77647058824</v>
      </c>
      <c r="L131" s="21">
        <v>31857.4285714286</v>
      </c>
      <c r="M131" s="21">
        <v>119.571428571429</v>
      </c>
      <c r="N131" s="2" t="s">
        <v>79</v>
      </c>
    </row>
    <row r="132" s="2" customFormat="1" spans="1:14">
      <c r="A132" s="20">
        <v>45878</v>
      </c>
      <c r="B132" s="2" t="s">
        <v>76</v>
      </c>
      <c r="C132" s="2" t="s">
        <v>77</v>
      </c>
      <c r="D132" s="2">
        <v>1</v>
      </c>
      <c r="E132" s="2">
        <v>1133</v>
      </c>
      <c r="F132" s="2">
        <v>214</v>
      </c>
      <c r="G132" s="2">
        <v>279128</v>
      </c>
      <c r="H132" s="2">
        <v>8</v>
      </c>
      <c r="I132" s="2" t="s">
        <v>78</v>
      </c>
      <c r="J132" s="3">
        <v>0.188879082082966</v>
      </c>
      <c r="K132" s="21">
        <v>1304.33644859813</v>
      </c>
      <c r="L132" s="21">
        <v>34891</v>
      </c>
      <c r="M132" s="21">
        <v>141.625</v>
      </c>
      <c r="N132" s="2" t="s">
        <v>80</v>
      </c>
    </row>
    <row r="133" s="2" customFormat="1" spans="1:14">
      <c r="A133" s="20">
        <v>45879</v>
      </c>
      <c r="B133" s="2" t="s">
        <v>76</v>
      </c>
      <c r="C133" s="2" t="s">
        <v>77</v>
      </c>
      <c r="D133" s="2">
        <v>1</v>
      </c>
      <c r="E133" s="2">
        <v>1089</v>
      </c>
      <c r="F133" s="2">
        <v>218</v>
      </c>
      <c r="G133" s="2">
        <v>276319</v>
      </c>
      <c r="H133" s="2">
        <v>4</v>
      </c>
      <c r="I133" s="2" t="s">
        <v>78</v>
      </c>
      <c r="J133" s="3">
        <v>0.200183654729109</v>
      </c>
      <c r="K133" s="21">
        <v>1267.51834862385</v>
      </c>
      <c r="L133" s="21">
        <v>69079.75</v>
      </c>
      <c r="M133" s="21">
        <v>272.25</v>
      </c>
      <c r="N133" s="2" t="s">
        <v>80</v>
      </c>
    </row>
    <row r="134" s="2" customFormat="1" spans="1:14">
      <c r="A134" s="20">
        <v>45880</v>
      </c>
      <c r="B134" s="2" t="s">
        <v>76</v>
      </c>
      <c r="C134" s="2" t="s">
        <v>77</v>
      </c>
      <c r="D134" s="2">
        <v>1</v>
      </c>
      <c r="E134" s="2">
        <v>792</v>
      </c>
      <c r="F134" s="2">
        <v>134</v>
      </c>
      <c r="G134" s="2">
        <v>193077</v>
      </c>
      <c r="H134" s="2">
        <v>4</v>
      </c>
      <c r="I134" s="2" t="s">
        <v>78</v>
      </c>
      <c r="J134" s="3">
        <v>0.169191919191919</v>
      </c>
      <c r="K134" s="21">
        <v>1440.87313432836</v>
      </c>
      <c r="L134" s="21">
        <v>48269.25</v>
      </c>
      <c r="M134" s="21">
        <v>198</v>
      </c>
      <c r="N134" s="2" t="s">
        <v>79</v>
      </c>
    </row>
    <row r="135" s="2" customFormat="1" spans="1:14">
      <c r="A135" s="20">
        <v>45881</v>
      </c>
      <c r="B135" s="2" t="s">
        <v>76</v>
      </c>
      <c r="C135" s="2" t="s">
        <v>77</v>
      </c>
      <c r="D135" s="2">
        <v>1</v>
      </c>
      <c r="E135" s="2">
        <v>836</v>
      </c>
      <c r="F135" s="2">
        <v>172</v>
      </c>
      <c r="G135" s="2">
        <v>260046</v>
      </c>
      <c r="H135" s="2">
        <v>8</v>
      </c>
      <c r="I135" s="2" t="s">
        <v>78</v>
      </c>
      <c r="J135" s="3">
        <v>0.205741626794258</v>
      </c>
      <c r="K135" s="21">
        <v>1511.89534883721</v>
      </c>
      <c r="L135" s="21">
        <v>32505.75</v>
      </c>
      <c r="M135" s="21">
        <v>104.5</v>
      </c>
      <c r="N135" s="2" t="s">
        <v>79</v>
      </c>
    </row>
    <row r="136" s="2" customFormat="1" spans="1:14">
      <c r="A136" s="20">
        <v>45882</v>
      </c>
      <c r="B136" s="2" t="s">
        <v>76</v>
      </c>
      <c r="C136" s="2" t="s">
        <v>77</v>
      </c>
      <c r="D136" s="2">
        <v>1</v>
      </c>
      <c r="E136" s="2">
        <v>686</v>
      </c>
      <c r="F136" s="2">
        <v>128</v>
      </c>
      <c r="G136" s="2">
        <v>158158</v>
      </c>
      <c r="H136" s="2">
        <v>6</v>
      </c>
      <c r="I136" s="2" t="s">
        <v>78</v>
      </c>
      <c r="J136" s="3">
        <v>0.186588921282799</v>
      </c>
      <c r="K136" s="21">
        <v>1235.609375</v>
      </c>
      <c r="L136" s="21">
        <v>26359.6666666667</v>
      </c>
      <c r="M136" s="21">
        <v>114.333333333333</v>
      </c>
      <c r="N136" s="2" t="s">
        <v>79</v>
      </c>
    </row>
    <row r="137" s="2" customFormat="1" spans="1:14">
      <c r="A137" s="20">
        <v>45883</v>
      </c>
      <c r="B137" s="2" t="s">
        <v>76</v>
      </c>
      <c r="C137" s="2" t="s">
        <v>77</v>
      </c>
      <c r="D137" s="2">
        <v>1</v>
      </c>
      <c r="E137" s="2">
        <v>971</v>
      </c>
      <c r="F137" s="2">
        <v>178</v>
      </c>
      <c r="G137" s="2">
        <v>301713</v>
      </c>
      <c r="H137" s="2">
        <v>7</v>
      </c>
      <c r="I137" s="2" t="s">
        <v>78</v>
      </c>
      <c r="J137" s="3">
        <v>0.183316168898043</v>
      </c>
      <c r="K137" s="21">
        <v>1695.01685393258</v>
      </c>
      <c r="L137" s="21">
        <v>43101.8571428571</v>
      </c>
      <c r="M137" s="21">
        <v>138.714285714286</v>
      </c>
      <c r="N137" s="2" t="s">
        <v>79</v>
      </c>
    </row>
    <row r="138" s="2" customFormat="1" spans="1:14">
      <c r="A138" s="20">
        <v>45884</v>
      </c>
      <c r="B138" s="2" t="s">
        <v>76</v>
      </c>
      <c r="C138" s="2" t="s">
        <v>77</v>
      </c>
      <c r="D138" s="2">
        <v>1</v>
      </c>
      <c r="E138" s="2">
        <v>817</v>
      </c>
      <c r="F138" s="2">
        <v>153</v>
      </c>
      <c r="G138" s="2">
        <v>240035</v>
      </c>
      <c r="H138" s="2">
        <v>4</v>
      </c>
      <c r="I138" s="2" t="s">
        <v>78</v>
      </c>
      <c r="J138" s="3">
        <v>0.187270501835985</v>
      </c>
      <c r="K138" s="21">
        <v>1568.85620915033</v>
      </c>
      <c r="L138" s="21">
        <v>60008.75</v>
      </c>
      <c r="M138" s="21">
        <v>204.25</v>
      </c>
      <c r="N138" s="2" t="s">
        <v>79</v>
      </c>
    </row>
    <row r="139" s="2" customFormat="1" spans="1:14">
      <c r="A139" s="20">
        <v>45885</v>
      </c>
      <c r="B139" s="2" t="s">
        <v>76</v>
      </c>
      <c r="C139" s="2" t="s">
        <v>77</v>
      </c>
      <c r="D139" s="2">
        <v>1</v>
      </c>
      <c r="E139" s="2">
        <v>1057</v>
      </c>
      <c r="F139" s="2">
        <v>197</v>
      </c>
      <c r="G139" s="2">
        <v>287470</v>
      </c>
      <c r="H139" s="2">
        <v>5</v>
      </c>
      <c r="I139" s="2" t="s">
        <v>78</v>
      </c>
      <c r="J139" s="3">
        <v>0.186376537369915</v>
      </c>
      <c r="K139" s="21">
        <v>1459.2385786802</v>
      </c>
      <c r="L139" s="21">
        <v>57494</v>
      </c>
      <c r="M139" s="21">
        <v>211.4</v>
      </c>
      <c r="N139" s="2" t="s">
        <v>80</v>
      </c>
    </row>
    <row r="140" s="2" customFormat="1" spans="1:14">
      <c r="A140" s="20">
        <v>45886</v>
      </c>
      <c r="B140" s="2" t="s">
        <v>76</v>
      </c>
      <c r="C140" s="2" t="s">
        <v>77</v>
      </c>
      <c r="D140" s="2">
        <v>1</v>
      </c>
      <c r="E140" s="2">
        <v>1153</v>
      </c>
      <c r="F140" s="2">
        <v>236</v>
      </c>
      <c r="G140" s="2">
        <v>296395</v>
      </c>
      <c r="H140" s="2">
        <v>7</v>
      </c>
      <c r="I140" s="2" t="s">
        <v>78</v>
      </c>
      <c r="J140" s="3">
        <v>0.204683434518647</v>
      </c>
      <c r="K140" s="21">
        <v>1255.91101694915</v>
      </c>
      <c r="L140" s="21">
        <v>42342.1428571429</v>
      </c>
      <c r="M140" s="21">
        <v>164.714285714286</v>
      </c>
      <c r="N140" s="2" t="s">
        <v>80</v>
      </c>
    </row>
    <row r="141" s="2" customFormat="1" spans="1:14">
      <c r="A141" s="20">
        <v>45887</v>
      </c>
      <c r="B141" s="2" t="s">
        <v>76</v>
      </c>
      <c r="C141" s="2" t="s">
        <v>77</v>
      </c>
      <c r="D141" s="2">
        <v>1</v>
      </c>
      <c r="E141" s="2">
        <v>908</v>
      </c>
      <c r="F141" s="2">
        <v>160</v>
      </c>
      <c r="G141" s="2">
        <v>264001</v>
      </c>
      <c r="H141" s="2">
        <v>6</v>
      </c>
      <c r="I141" s="2" t="s">
        <v>78</v>
      </c>
      <c r="J141" s="3">
        <v>0.176211453744493</v>
      </c>
      <c r="K141" s="21">
        <v>1650.00625</v>
      </c>
      <c r="L141" s="21">
        <v>44000.1666666667</v>
      </c>
      <c r="M141" s="21">
        <v>151.333333333333</v>
      </c>
      <c r="N141" s="2" t="s">
        <v>79</v>
      </c>
    </row>
    <row r="142" s="2" customFormat="1" spans="1:14">
      <c r="A142" s="20">
        <v>45888</v>
      </c>
      <c r="B142" s="2" t="s">
        <v>76</v>
      </c>
      <c r="C142" s="2" t="s">
        <v>77</v>
      </c>
      <c r="D142" s="2">
        <v>1</v>
      </c>
      <c r="E142" s="2">
        <v>771</v>
      </c>
      <c r="F142" s="2">
        <v>160</v>
      </c>
      <c r="G142" s="2">
        <v>244332</v>
      </c>
      <c r="H142" s="2">
        <v>7</v>
      </c>
      <c r="I142" s="2" t="s">
        <v>78</v>
      </c>
      <c r="J142" s="3">
        <v>0.207522697795071</v>
      </c>
      <c r="K142" s="21">
        <v>1527.075</v>
      </c>
      <c r="L142" s="21">
        <v>34904.5714285714</v>
      </c>
      <c r="M142" s="21">
        <v>110.142857142857</v>
      </c>
      <c r="N142" s="2" t="s">
        <v>79</v>
      </c>
    </row>
    <row r="143" s="2" customFormat="1" spans="1:14">
      <c r="A143" s="20">
        <v>45889</v>
      </c>
      <c r="B143" s="2" t="s">
        <v>76</v>
      </c>
      <c r="C143" s="2" t="s">
        <v>77</v>
      </c>
      <c r="D143" s="2">
        <v>1</v>
      </c>
      <c r="E143" s="2">
        <v>1019</v>
      </c>
      <c r="F143" s="2">
        <v>203</v>
      </c>
      <c r="G143" s="2">
        <v>253812</v>
      </c>
      <c r="H143" s="2">
        <v>5</v>
      </c>
      <c r="I143" s="2" t="s">
        <v>78</v>
      </c>
      <c r="J143" s="3">
        <v>0.199214916584887</v>
      </c>
      <c r="K143" s="21">
        <v>1250.30541871921</v>
      </c>
      <c r="L143" s="21">
        <v>50762.4</v>
      </c>
      <c r="M143" s="21">
        <v>203.8</v>
      </c>
      <c r="N143" s="2" t="s">
        <v>79</v>
      </c>
    </row>
    <row r="144" s="2" customFormat="1" spans="1:14">
      <c r="A144" s="20">
        <v>45890</v>
      </c>
      <c r="B144" s="2" t="s">
        <v>76</v>
      </c>
      <c r="C144" s="2" t="s">
        <v>77</v>
      </c>
      <c r="D144" s="2">
        <v>1</v>
      </c>
      <c r="E144" s="2">
        <v>691</v>
      </c>
      <c r="F144" s="2">
        <v>137</v>
      </c>
      <c r="G144" s="2">
        <v>173329</v>
      </c>
      <c r="H144" s="2">
        <v>5</v>
      </c>
      <c r="I144" s="2" t="s">
        <v>78</v>
      </c>
      <c r="J144" s="3">
        <v>0.198263386396527</v>
      </c>
      <c r="K144" s="21">
        <v>1265.17518248175</v>
      </c>
      <c r="L144" s="21">
        <v>34665.8</v>
      </c>
      <c r="M144" s="21">
        <v>138.2</v>
      </c>
      <c r="N144" s="2" t="s">
        <v>79</v>
      </c>
    </row>
    <row r="145" s="2" customFormat="1" spans="1:14">
      <c r="A145" s="20">
        <v>45891</v>
      </c>
      <c r="B145" s="2" t="s">
        <v>76</v>
      </c>
      <c r="C145" s="2" t="s">
        <v>77</v>
      </c>
      <c r="D145" s="2">
        <v>1</v>
      </c>
      <c r="E145" s="2">
        <v>1020</v>
      </c>
      <c r="F145" s="2">
        <v>176</v>
      </c>
      <c r="G145" s="2">
        <v>295019</v>
      </c>
      <c r="H145" s="2">
        <v>5</v>
      </c>
      <c r="I145" s="2" t="s">
        <v>78</v>
      </c>
      <c r="J145" s="3">
        <v>0.172549019607843</v>
      </c>
      <c r="K145" s="21">
        <v>1676.24431818182</v>
      </c>
      <c r="L145" s="21">
        <v>59003.8</v>
      </c>
      <c r="M145" s="21">
        <v>204</v>
      </c>
      <c r="N145" s="2" t="s">
        <v>79</v>
      </c>
    </row>
    <row r="146" s="2" customFormat="1" spans="1:14">
      <c r="A146" s="20">
        <v>45892</v>
      </c>
      <c r="B146" s="2" t="s">
        <v>76</v>
      </c>
      <c r="C146" s="2" t="s">
        <v>77</v>
      </c>
      <c r="D146" s="2">
        <v>1</v>
      </c>
      <c r="E146" s="2">
        <v>1228</v>
      </c>
      <c r="F146" s="2">
        <v>233</v>
      </c>
      <c r="G146" s="2">
        <v>293201</v>
      </c>
      <c r="H146" s="2">
        <v>4</v>
      </c>
      <c r="I146" s="2" t="s">
        <v>78</v>
      </c>
      <c r="J146" s="3">
        <v>0.189739413680782</v>
      </c>
      <c r="K146" s="21">
        <v>1258.37339055794</v>
      </c>
      <c r="L146" s="21">
        <v>73300.25</v>
      </c>
      <c r="M146" s="21">
        <v>307</v>
      </c>
      <c r="N146" s="2" t="s">
        <v>80</v>
      </c>
    </row>
    <row r="147" s="2" customFormat="1" spans="1:14">
      <c r="A147" s="20">
        <v>45893</v>
      </c>
      <c r="B147" s="2" t="s">
        <v>76</v>
      </c>
      <c r="C147" s="2" t="s">
        <v>77</v>
      </c>
      <c r="D147" s="2">
        <v>1</v>
      </c>
      <c r="E147" s="2">
        <v>1336</v>
      </c>
      <c r="F147" s="2">
        <v>246</v>
      </c>
      <c r="G147" s="2">
        <v>369202</v>
      </c>
      <c r="H147" s="2">
        <v>5</v>
      </c>
      <c r="I147" s="2" t="s">
        <v>78</v>
      </c>
      <c r="J147" s="3">
        <v>0.184131736526946</v>
      </c>
      <c r="K147" s="21">
        <v>1500.82113821138</v>
      </c>
      <c r="L147" s="21">
        <v>73840.4</v>
      </c>
      <c r="M147" s="21">
        <v>267.2</v>
      </c>
      <c r="N147" s="2" t="s">
        <v>80</v>
      </c>
    </row>
    <row r="148" s="2" customFormat="1" spans="1:14">
      <c r="A148" s="20">
        <v>45894</v>
      </c>
      <c r="B148" s="2" t="s">
        <v>76</v>
      </c>
      <c r="C148" s="2" t="s">
        <v>77</v>
      </c>
      <c r="D148" s="2">
        <v>1</v>
      </c>
      <c r="E148" s="2">
        <v>814</v>
      </c>
      <c r="F148" s="2">
        <v>139</v>
      </c>
      <c r="G148" s="2">
        <v>168330</v>
      </c>
      <c r="H148" s="2">
        <v>5</v>
      </c>
      <c r="I148" s="2" t="s">
        <v>81</v>
      </c>
      <c r="J148" s="3">
        <v>0.170761670761671</v>
      </c>
      <c r="K148" s="21">
        <v>1211.0071942446</v>
      </c>
      <c r="L148" s="21">
        <v>33666</v>
      </c>
      <c r="M148" s="21">
        <v>162.8</v>
      </c>
      <c r="N148" s="2" t="s">
        <v>79</v>
      </c>
    </row>
    <row r="149" s="2" customFormat="1" spans="1:14">
      <c r="A149" s="20">
        <v>45895</v>
      </c>
      <c r="B149" s="2" t="s">
        <v>76</v>
      </c>
      <c r="C149" s="2" t="s">
        <v>77</v>
      </c>
      <c r="D149" s="2">
        <v>1</v>
      </c>
      <c r="E149" s="2">
        <v>788</v>
      </c>
      <c r="F149" s="2">
        <v>135</v>
      </c>
      <c r="G149" s="2">
        <v>200035</v>
      </c>
      <c r="H149" s="2">
        <v>5</v>
      </c>
      <c r="I149" s="2" t="s">
        <v>78</v>
      </c>
      <c r="J149" s="3">
        <v>0.171319796954315</v>
      </c>
      <c r="K149" s="21">
        <v>1481.74074074074</v>
      </c>
      <c r="L149" s="21">
        <v>40007</v>
      </c>
      <c r="M149" s="21">
        <v>157.6</v>
      </c>
      <c r="N149" s="2" t="s">
        <v>79</v>
      </c>
    </row>
    <row r="150" s="2" customFormat="1" spans="1:14">
      <c r="A150" s="20">
        <v>45896</v>
      </c>
      <c r="B150" s="2" t="s">
        <v>76</v>
      </c>
      <c r="C150" s="2" t="s">
        <v>77</v>
      </c>
      <c r="D150" s="2">
        <v>1</v>
      </c>
      <c r="E150" s="2">
        <v>920</v>
      </c>
      <c r="F150" s="2">
        <v>189</v>
      </c>
      <c r="G150" s="2">
        <v>287765</v>
      </c>
      <c r="H150" s="2">
        <v>5</v>
      </c>
      <c r="I150" s="2" t="s">
        <v>78</v>
      </c>
      <c r="J150" s="3">
        <v>0.205434782608696</v>
      </c>
      <c r="K150" s="21">
        <v>1522.56613756614</v>
      </c>
      <c r="L150" s="21">
        <v>57553</v>
      </c>
      <c r="M150" s="21">
        <v>184</v>
      </c>
      <c r="N150" s="2" t="s">
        <v>79</v>
      </c>
    </row>
    <row r="151" s="2" customFormat="1" spans="1:14">
      <c r="A151" s="20">
        <v>45897</v>
      </c>
      <c r="B151" s="2" t="s">
        <v>76</v>
      </c>
      <c r="C151" s="2" t="s">
        <v>77</v>
      </c>
      <c r="D151" s="2">
        <v>1</v>
      </c>
      <c r="E151" s="2">
        <v>853</v>
      </c>
      <c r="F151" s="2">
        <v>153</v>
      </c>
      <c r="G151" s="2">
        <v>253492</v>
      </c>
      <c r="H151" s="2">
        <v>4</v>
      </c>
      <c r="I151" s="2" t="s">
        <v>81</v>
      </c>
      <c r="J151" s="3">
        <v>0.17936694021102</v>
      </c>
      <c r="K151" s="21">
        <v>1656.81045751634</v>
      </c>
      <c r="L151" s="21">
        <v>63373</v>
      </c>
      <c r="M151" s="21">
        <v>213.25</v>
      </c>
      <c r="N151" s="2" t="s">
        <v>79</v>
      </c>
    </row>
    <row r="152" s="2" customFormat="1" spans="1:14">
      <c r="A152" s="20">
        <v>45898</v>
      </c>
      <c r="B152" s="2" t="s">
        <v>76</v>
      </c>
      <c r="C152" s="2" t="s">
        <v>77</v>
      </c>
      <c r="D152" s="2">
        <v>1</v>
      </c>
      <c r="E152" s="2">
        <v>724</v>
      </c>
      <c r="F152" s="2">
        <v>139</v>
      </c>
      <c r="G152" s="2">
        <v>181782</v>
      </c>
      <c r="H152" s="2">
        <v>8</v>
      </c>
      <c r="I152" s="2" t="s">
        <v>78</v>
      </c>
      <c r="J152" s="3">
        <v>0.191988950276243</v>
      </c>
      <c r="K152" s="21">
        <v>1307.78417266187</v>
      </c>
      <c r="L152" s="21">
        <v>22722.75</v>
      </c>
      <c r="M152" s="21">
        <v>90.5</v>
      </c>
      <c r="N152" s="2" t="s">
        <v>79</v>
      </c>
    </row>
    <row r="153" s="2" customFormat="1" spans="1:14">
      <c r="A153" s="20">
        <v>45899</v>
      </c>
      <c r="B153" s="2" t="s">
        <v>76</v>
      </c>
      <c r="C153" s="2" t="s">
        <v>77</v>
      </c>
      <c r="D153" s="2">
        <v>1</v>
      </c>
      <c r="E153" s="2">
        <v>1249</v>
      </c>
      <c r="F153" s="2">
        <v>227</v>
      </c>
      <c r="G153" s="2">
        <v>335019</v>
      </c>
      <c r="H153" s="2">
        <v>8</v>
      </c>
      <c r="I153" s="2" t="s">
        <v>78</v>
      </c>
      <c r="J153" s="3">
        <v>0.181745396317054</v>
      </c>
      <c r="K153" s="21">
        <v>1475.85462555066</v>
      </c>
      <c r="L153" s="21">
        <v>41877.375</v>
      </c>
      <c r="M153" s="21">
        <v>156.125</v>
      </c>
      <c r="N153" s="2" t="s">
        <v>80</v>
      </c>
    </row>
    <row r="154" s="2" customFormat="1" spans="1:14">
      <c r="A154" s="20">
        <v>45900</v>
      </c>
      <c r="B154" s="2" t="s">
        <v>76</v>
      </c>
      <c r="C154" s="2" t="s">
        <v>77</v>
      </c>
      <c r="D154" s="2">
        <v>1</v>
      </c>
      <c r="E154" s="2">
        <v>1075</v>
      </c>
      <c r="F154" s="2">
        <v>198</v>
      </c>
      <c r="G154" s="2">
        <v>299911</v>
      </c>
      <c r="H154" s="2">
        <v>6</v>
      </c>
      <c r="I154" s="2" t="s">
        <v>78</v>
      </c>
      <c r="J154" s="3">
        <v>0.184186046511628</v>
      </c>
      <c r="K154" s="21">
        <v>1514.70202020202</v>
      </c>
      <c r="L154" s="21">
        <v>49985.1666666667</v>
      </c>
      <c r="M154" s="21">
        <v>179.166666666667</v>
      </c>
      <c r="N154" s="2" t="s">
        <v>80</v>
      </c>
    </row>
    <row r="155" s="2" customFormat="1" spans="1:14">
      <c r="A155" s="20">
        <v>45901</v>
      </c>
      <c r="B155" s="2" t="s">
        <v>76</v>
      </c>
      <c r="C155" s="2" t="s">
        <v>77</v>
      </c>
      <c r="D155" s="2">
        <v>1</v>
      </c>
      <c r="E155" s="2">
        <v>827</v>
      </c>
      <c r="F155" s="2">
        <v>165</v>
      </c>
      <c r="G155" s="2">
        <v>209558</v>
      </c>
      <c r="H155" s="2">
        <v>5</v>
      </c>
      <c r="I155" s="2" t="s">
        <v>78</v>
      </c>
      <c r="J155" s="3">
        <v>0.199516324062878</v>
      </c>
      <c r="K155" s="21">
        <v>1270.04848484849</v>
      </c>
      <c r="L155" s="21">
        <v>41911.6</v>
      </c>
      <c r="M155" s="21">
        <v>165.4</v>
      </c>
      <c r="N155" s="2" t="s">
        <v>79</v>
      </c>
    </row>
    <row r="156" s="2" customFormat="1" spans="1:14">
      <c r="A156" s="20">
        <v>45902</v>
      </c>
      <c r="B156" s="2" t="s">
        <v>76</v>
      </c>
      <c r="C156" s="2" t="s">
        <v>77</v>
      </c>
      <c r="D156" s="2">
        <v>1</v>
      </c>
      <c r="E156" s="2">
        <v>804</v>
      </c>
      <c r="F156" s="2">
        <v>143</v>
      </c>
      <c r="G156" s="2">
        <v>165210</v>
      </c>
      <c r="H156" s="2">
        <v>5</v>
      </c>
      <c r="I156" s="2" t="s">
        <v>78</v>
      </c>
      <c r="J156" s="3">
        <v>0.177860696517413</v>
      </c>
      <c r="K156" s="21">
        <v>1155.31468531468</v>
      </c>
      <c r="L156" s="21">
        <v>33042</v>
      </c>
      <c r="M156" s="21">
        <v>160.8</v>
      </c>
      <c r="N156" s="2" t="s">
        <v>79</v>
      </c>
    </row>
    <row r="157" s="2" customFormat="1" spans="1:14">
      <c r="A157" s="20">
        <v>45903</v>
      </c>
      <c r="B157" s="2" t="s">
        <v>76</v>
      </c>
      <c r="C157" s="2" t="s">
        <v>77</v>
      </c>
      <c r="D157" s="2">
        <v>1</v>
      </c>
      <c r="E157" s="2">
        <v>811</v>
      </c>
      <c r="F157" s="2">
        <v>137</v>
      </c>
      <c r="G157" s="2">
        <v>167396</v>
      </c>
      <c r="H157" s="2">
        <v>5</v>
      </c>
      <c r="I157" s="2" t="s">
        <v>78</v>
      </c>
      <c r="J157" s="3">
        <v>0.168927250308261</v>
      </c>
      <c r="K157" s="21">
        <v>1221.86861313869</v>
      </c>
      <c r="L157" s="21">
        <v>33479.2</v>
      </c>
      <c r="M157" s="21">
        <v>162.2</v>
      </c>
      <c r="N157" s="2" t="s">
        <v>79</v>
      </c>
    </row>
    <row r="158" s="2" customFormat="1" spans="1:14">
      <c r="A158" s="20">
        <v>45904</v>
      </c>
      <c r="B158" s="2" t="s">
        <v>76</v>
      </c>
      <c r="C158" s="2" t="s">
        <v>77</v>
      </c>
      <c r="D158" s="2">
        <v>1</v>
      </c>
      <c r="E158" s="2">
        <v>829</v>
      </c>
      <c r="F158" s="2">
        <v>169</v>
      </c>
      <c r="G158" s="2">
        <v>250069</v>
      </c>
      <c r="H158" s="2">
        <v>7</v>
      </c>
      <c r="I158" s="2" t="s">
        <v>78</v>
      </c>
      <c r="J158" s="3">
        <v>0.203860072376357</v>
      </c>
      <c r="K158" s="21">
        <v>1479.69822485207</v>
      </c>
      <c r="L158" s="21">
        <v>35724.1428571429</v>
      </c>
      <c r="M158" s="21">
        <v>118.428571428571</v>
      </c>
      <c r="N158" s="2" t="s">
        <v>79</v>
      </c>
    </row>
    <row r="159" s="2" customFormat="1" spans="1:14">
      <c r="A159" s="20">
        <v>45905</v>
      </c>
      <c r="B159" s="2" t="s">
        <v>76</v>
      </c>
      <c r="C159" s="2" t="s">
        <v>77</v>
      </c>
      <c r="D159" s="2">
        <v>1</v>
      </c>
      <c r="E159" s="2">
        <v>721</v>
      </c>
      <c r="F159" s="2">
        <v>127</v>
      </c>
      <c r="G159" s="2">
        <v>187559</v>
      </c>
      <c r="H159" s="2">
        <v>7</v>
      </c>
      <c r="I159" s="2" t="s">
        <v>78</v>
      </c>
      <c r="J159" s="3">
        <v>0.176144244105409</v>
      </c>
      <c r="K159" s="21">
        <v>1476.84251968504</v>
      </c>
      <c r="L159" s="21">
        <v>26794.1428571429</v>
      </c>
      <c r="M159" s="21">
        <v>103</v>
      </c>
      <c r="N159" s="2" t="s">
        <v>79</v>
      </c>
    </row>
    <row r="160" s="2" customFormat="1" spans="1:14">
      <c r="A160" s="20">
        <v>45906</v>
      </c>
      <c r="B160" s="2" t="s">
        <v>76</v>
      </c>
      <c r="C160" s="2" t="s">
        <v>77</v>
      </c>
      <c r="D160" s="2">
        <v>1</v>
      </c>
      <c r="E160" s="2">
        <v>1334</v>
      </c>
      <c r="F160" s="2">
        <v>260</v>
      </c>
      <c r="G160" s="2">
        <v>355271</v>
      </c>
      <c r="H160" s="2">
        <v>4</v>
      </c>
      <c r="I160" s="2" t="s">
        <v>78</v>
      </c>
      <c r="J160" s="3">
        <v>0.194902548725637</v>
      </c>
      <c r="K160" s="21">
        <v>1366.42692307692</v>
      </c>
      <c r="L160" s="21">
        <v>88817.75</v>
      </c>
      <c r="M160" s="21">
        <v>333.5</v>
      </c>
      <c r="N160" s="2" t="s">
        <v>80</v>
      </c>
    </row>
    <row r="161" s="2" customFormat="1" spans="1:14">
      <c r="A161" s="20">
        <v>45907</v>
      </c>
      <c r="B161" s="2" t="s">
        <v>76</v>
      </c>
      <c r="C161" s="2" t="s">
        <v>77</v>
      </c>
      <c r="D161" s="2">
        <v>1</v>
      </c>
      <c r="E161" s="2">
        <v>1153</v>
      </c>
      <c r="F161" s="2">
        <v>204</v>
      </c>
      <c r="G161" s="2">
        <v>269586</v>
      </c>
      <c r="H161" s="2">
        <v>5</v>
      </c>
      <c r="I161" s="2" t="s">
        <v>81</v>
      </c>
      <c r="J161" s="3">
        <v>0.17692974848222</v>
      </c>
      <c r="K161" s="21">
        <v>1321.5</v>
      </c>
      <c r="L161" s="21">
        <v>53917.2</v>
      </c>
      <c r="M161" s="21">
        <v>230.6</v>
      </c>
      <c r="N161" s="2" t="s">
        <v>80</v>
      </c>
    </row>
    <row r="162" s="2" customFormat="1" spans="1:14">
      <c r="A162" s="20">
        <v>45908</v>
      </c>
      <c r="B162" s="2" t="s">
        <v>76</v>
      </c>
      <c r="C162" s="2" t="s">
        <v>77</v>
      </c>
      <c r="D162" s="2">
        <v>1</v>
      </c>
      <c r="E162" s="2">
        <v>677</v>
      </c>
      <c r="F162" s="2">
        <v>123</v>
      </c>
      <c r="G162" s="2">
        <v>176484</v>
      </c>
      <c r="H162" s="2">
        <v>8</v>
      </c>
      <c r="I162" s="2" t="s">
        <v>78</v>
      </c>
      <c r="J162" s="3">
        <v>0.181683899556869</v>
      </c>
      <c r="K162" s="21">
        <v>1434.82926829268</v>
      </c>
      <c r="L162" s="21">
        <v>22060.5</v>
      </c>
      <c r="M162" s="21">
        <v>84.625</v>
      </c>
      <c r="N162" s="2" t="s">
        <v>79</v>
      </c>
    </row>
    <row r="163" s="2" customFormat="1" spans="1:14">
      <c r="A163" s="20">
        <v>45909</v>
      </c>
      <c r="B163" s="2" t="s">
        <v>76</v>
      </c>
      <c r="C163" s="2" t="s">
        <v>77</v>
      </c>
      <c r="D163" s="2">
        <v>1</v>
      </c>
      <c r="E163" s="2">
        <v>784</v>
      </c>
      <c r="F163" s="2">
        <v>138</v>
      </c>
      <c r="G163" s="2">
        <v>161483</v>
      </c>
      <c r="H163" s="2">
        <v>5</v>
      </c>
      <c r="I163" s="2" t="s">
        <v>78</v>
      </c>
      <c r="J163" s="3">
        <v>0.176020408163265</v>
      </c>
      <c r="K163" s="21">
        <v>1170.16666666667</v>
      </c>
      <c r="L163" s="21">
        <v>32296.6</v>
      </c>
      <c r="M163" s="21">
        <v>156.8</v>
      </c>
      <c r="N163" s="2" t="s">
        <v>79</v>
      </c>
    </row>
    <row r="164" s="2" customFormat="1" spans="1:14">
      <c r="A164" s="20">
        <v>45910</v>
      </c>
      <c r="B164" s="2" t="s">
        <v>76</v>
      </c>
      <c r="C164" s="2" t="s">
        <v>77</v>
      </c>
      <c r="D164" s="2">
        <v>1</v>
      </c>
      <c r="E164" s="2">
        <v>750</v>
      </c>
      <c r="F164" s="2">
        <v>156</v>
      </c>
      <c r="G164" s="2">
        <v>201482</v>
      </c>
      <c r="H164" s="2">
        <v>8</v>
      </c>
      <c r="I164" s="2" t="s">
        <v>78</v>
      </c>
      <c r="J164" s="3">
        <v>0.208</v>
      </c>
      <c r="K164" s="21">
        <v>1291.55128205128</v>
      </c>
      <c r="L164" s="21">
        <v>25185.25</v>
      </c>
      <c r="M164" s="21">
        <v>93.75</v>
      </c>
      <c r="N164" s="2" t="s">
        <v>79</v>
      </c>
    </row>
    <row r="165" s="2" customFormat="1" spans="1:14">
      <c r="A165" s="20">
        <v>45911</v>
      </c>
      <c r="B165" s="2" t="s">
        <v>76</v>
      </c>
      <c r="C165" s="2" t="s">
        <v>77</v>
      </c>
      <c r="D165" s="2">
        <v>1</v>
      </c>
      <c r="E165" s="2">
        <v>735</v>
      </c>
      <c r="F165" s="2">
        <v>151</v>
      </c>
      <c r="G165" s="2">
        <v>206611</v>
      </c>
      <c r="H165" s="2">
        <v>9</v>
      </c>
      <c r="I165" s="2" t="s">
        <v>78</v>
      </c>
      <c r="J165" s="3">
        <v>0.205442176870748</v>
      </c>
      <c r="K165" s="21">
        <v>1368.28476821192</v>
      </c>
      <c r="L165" s="21">
        <v>22956.7777777778</v>
      </c>
      <c r="M165" s="21">
        <v>81.6666666666667</v>
      </c>
      <c r="N165" s="2" t="s">
        <v>79</v>
      </c>
    </row>
    <row r="166" s="2" customFormat="1" spans="1:14">
      <c r="A166" s="20">
        <v>45912</v>
      </c>
      <c r="B166" s="2" t="s">
        <v>76</v>
      </c>
      <c r="C166" s="2" t="s">
        <v>77</v>
      </c>
      <c r="D166" s="2">
        <v>1</v>
      </c>
      <c r="E166" s="2">
        <v>791</v>
      </c>
      <c r="F166" s="2">
        <v>159</v>
      </c>
      <c r="G166" s="2">
        <v>244888</v>
      </c>
      <c r="H166" s="2">
        <v>7</v>
      </c>
      <c r="I166" s="2" t="s">
        <v>81</v>
      </c>
      <c r="J166" s="3">
        <v>0.201011378002528</v>
      </c>
      <c r="K166" s="21">
        <v>1540.17610062893</v>
      </c>
      <c r="L166" s="21">
        <v>34984</v>
      </c>
      <c r="M166" s="21">
        <v>113</v>
      </c>
      <c r="N166" s="2" t="s">
        <v>79</v>
      </c>
    </row>
    <row r="167" s="2" customFormat="1" spans="1:14">
      <c r="A167" s="20">
        <v>45913</v>
      </c>
      <c r="B167" s="2" t="s">
        <v>76</v>
      </c>
      <c r="C167" s="2" t="s">
        <v>77</v>
      </c>
      <c r="D167" s="2">
        <v>1</v>
      </c>
      <c r="E167" s="2">
        <v>1226</v>
      </c>
      <c r="F167" s="2">
        <v>257</v>
      </c>
      <c r="G167" s="2">
        <v>326790</v>
      </c>
      <c r="H167" s="2">
        <v>8</v>
      </c>
      <c r="I167" s="2" t="s">
        <v>78</v>
      </c>
      <c r="J167" s="3">
        <v>0.209624796084829</v>
      </c>
      <c r="K167" s="21">
        <v>1271.55642023346</v>
      </c>
      <c r="L167" s="21">
        <v>40848.75</v>
      </c>
      <c r="M167" s="21">
        <v>153.25</v>
      </c>
      <c r="N167" s="2" t="s">
        <v>80</v>
      </c>
    </row>
    <row r="168" s="2" customFormat="1" spans="1:14">
      <c r="A168" s="20">
        <v>45914</v>
      </c>
      <c r="B168" s="2" t="s">
        <v>76</v>
      </c>
      <c r="C168" s="2" t="s">
        <v>77</v>
      </c>
      <c r="D168" s="2">
        <v>1</v>
      </c>
      <c r="E168" s="2">
        <v>1369</v>
      </c>
      <c r="F168" s="2">
        <v>260</v>
      </c>
      <c r="G168" s="2">
        <v>316173</v>
      </c>
      <c r="H168" s="2">
        <v>4</v>
      </c>
      <c r="I168" s="2" t="s">
        <v>78</v>
      </c>
      <c r="J168" s="3">
        <v>0.189919649379109</v>
      </c>
      <c r="K168" s="21">
        <v>1216.05</v>
      </c>
      <c r="L168" s="21">
        <v>79043.25</v>
      </c>
      <c r="M168" s="21">
        <v>342.25</v>
      </c>
      <c r="N168" s="2" t="s">
        <v>80</v>
      </c>
    </row>
    <row r="169" s="2" customFormat="1" spans="1:14">
      <c r="A169" s="20">
        <v>45915</v>
      </c>
      <c r="B169" s="2" t="s">
        <v>76</v>
      </c>
      <c r="C169" s="2" t="s">
        <v>77</v>
      </c>
      <c r="D169" s="2">
        <v>1</v>
      </c>
      <c r="E169" s="2">
        <v>1055</v>
      </c>
      <c r="F169" s="2">
        <v>200</v>
      </c>
      <c r="G169" s="2">
        <v>311202</v>
      </c>
      <c r="H169" s="2">
        <v>7</v>
      </c>
      <c r="I169" s="2" t="s">
        <v>78</v>
      </c>
      <c r="J169" s="3">
        <v>0.18957345971564</v>
      </c>
      <c r="K169" s="21">
        <v>1556.01</v>
      </c>
      <c r="L169" s="21">
        <v>44457.4285714286</v>
      </c>
      <c r="M169" s="21">
        <v>150.714285714286</v>
      </c>
      <c r="N169" s="2" t="s">
        <v>79</v>
      </c>
    </row>
    <row r="170" s="2" customFormat="1" spans="1:14">
      <c r="A170" s="20">
        <v>45916</v>
      </c>
      <c r="B170" s="2" t="s">
        <v>76</v>
      </c>
      <c r="C170" s="2" t="s">
        <v>77</v>
      </c>
      <c r="D170" s="2">
        <v>1</v>
      </c>
      <c r="E170" s="2">
        <v>1064</v>
      </c>
      <c r="F170" s="2">
        <v>219</v>
      </c>
      <c r="G170" s="2">
        <v>322526</v>
      </c>
      <c r="H170" s="2">
        <v>7</v>
      </c>
      <c r="I170" s="2" t="s">
        <v>78</v>
      </c>
      <c r="J170" s="3">
        <v>0.205827067669173</v>
      </c>
      <c r="K170" s="21">
        <v>1472.72146118722</v>
      </c>
      <c r="L170" s="21">
        <v>46075.1428571429</v>
      </c>
      <c r="M170" s="21">
        <v>152</v>
      </c>
      <c r="N170" s="2" t="s">
        <v>79</v>
      </c>
    </row>
    <row r="171" s="2" customFormat="1" spans="1:14">
      <c r="A171" s="20">
        <v>45917</v>
      </c>
      <c r="B171" s="2" t="s">
        <v>76</v>
      </c>
      <c r="C171" s="2" t="s">
        <v>77</v>
      </c>
      <c r="D171" s="2">
        <v>1</v>
      </c>
      <c r="E171" s="2">
        <v>768</v>
      </c>
      <c r="F171" s="2">
        <v>137</v>
      </c>
      <c r="G171" s="2">
        <v>165776</v>
      </c>
      <c r="H171" s="2">
        <v>8</v>
      </c>
      <c r="I171" s="2" t="s">
        <v>78</v>
      </c>
      <c r="J171" s="3">
        <v>0.178385416666667</v>
      </c>
      <c r="K171" s="21">
        <v>1210.04379562044</v>
      </c>
      <c r="L171" s="21">
        <v>20722</v>
      </c>
      <c r="M171" s="21">
        <v>96</v>
      </c>
      <c r="N171" s="2" t="s">
        <v>79</v>
      </c>
    </row>
    <row r="172" s="2" customFormat="1" spans="1:14">
      <c r="A172" s="20">
        <v>45918</v>
      </c>
      <c r="B172" s="2" t="s">
        <v>76</v>
      </c>
      <c r="C172" s="2" t="s">
        <v>77</v>
      </c>
      <c r="D172" s="2">
        <v>1</v>
      </c>
      <c r="E172" s="2">
        <v>843</v>
      </c>
      <c r="F172" s="2">
        <v>173</v>
      </c>
      <c r="G172" s="2">
        <v>253412</v>
      </c>
      <c r="H172" s="2">
        <v>5</v>
      </c>
      <c r="I172" s="2" t="s">
        <v>78</v>
      </c>
      <c r="J172" s="3">
        <v>0.205219454329775</v>
      </c>
      <c r="K172" s="21">
        <v>1464.80924855491</v>
      </c>
      <c r="L172" s="21">
        <v>50682.4</v>
      </c>
      <c r="M172" s="21">
        <v>168.6</v>
      </c>
      <c r="N172" s="2" t="s">
        <v>79</v>
      </c>
    </row>
    <row r="173" s="2" customFormat="1" spans="1:14">
      <c r="A173" s="20">
        <v>45919</v>
      </c>
      <c r="B173" s="2" t="s">
        <v>76</v>
      </c>
      <c r="C173" s="2" t="s">
        <v>77</v>
      </c>
      <c r="D173" s="2">
        <v>1</v>
      </c>
      <c r="E173" s="2">
        <v>748</v>
      </c>
      <c r="F173" s="2">
        <v>163</v>
      </c>
      <c r="G173" s="2">
        <v>250040</v>
      </c>
      <c r="H173" s="2">
        <v>9</v>
      </c>
      <c r="I173" s="2" t="s">
        <v>81</v>
      </c>
      <c r="J173" s="3">
        <v>0.217914438502674</v>
      </c>
      <c r="K173" s="21">
        <v>1533.98773006135</v>
      </c>
      <c r="L173" s="21">
        <v>27782.2222222222</v>
      </c>
      <c r="M173" s="21">
        <v>83.1111111111111</v>
      </c>
      <c r="N173" s="2" t="s">
        <v>79</v>
      </c>
    </row>
    <row r="174" s="2" customFormat="1" spans="1:14">
      <c r="A174" s="20">
        <v>45920</v>
      </c>
      <c r="B174" s="2" t="s">
        <v>76</v>
      </c>
      <c r="C174" s="2" t="s">
        <v>77</v>
      </c>
      <c r="D174" s="2">
        <v>1</v>
      </c>
      <c r="E174" s="2">
        <v>1137</v>
      </c>
      <c r="F174" s="2">
        <v>227</v>
      </c>
      <c r="G174" s="2">
        <v>315807</v>
      </c>
      <c r="H174" s="2">
        <v>9</v>
      </c>
      <c r="I174" s="2" t="s">
        <v>78</v>
      </c>
      <c r="J174" s="3">
        <v>0.199648197009675</v>
      </c>
      <c r="K174" s="21">
        <v>1391.22026431718</v>
      </c>
      <c r="L174" s="21">
        <v>35089.6666666667</v>
      </c>
      <c r="M174" s="21">
        <v>126.333333333333</v>
      </c>
      <c r="N174" s="2" t="s">
        <v>80</v>
      </c>
    </row>
    <row r="175" s="2" customFormat="1" spans="1:14">
      <c r="A175" s="20">
        <v>45921</v>
      </c>
      <c r="B175" s="2" t="s">
        <v>76</v>
      </c>
      <c r="C175" s="2" t="s">
        <v>77</v>
      </c>
      <c r="D175" s="2">
        <v>1</v>
      </c>
      <c r="E175" s="2">
        <v>1444</v>
      </c>
      <c r="F175" s="2">
        <v>264</v>
      </c>
      <c r="G175" s="2">
        <v>341238</v>
      </c>
      <c r="H175" s="2">
        <v>4</v>
      </c>
      <c r="I175" s="2" t="s">
        <v>78</v>
      </c>
      <c r="J175" s="3">
        <v>0.182825484764543</v>
      </c>
      <c r="K175" s="21">
        <v>1292.56818181818</v>
      </c>
      <c r="L175" s="21">
        <v>85309.5</v>
      </c>
      <c r="M175" s="21">
        <v>361</v>
      </c>
      <c r="N175" s="2" t="s">
        <v>80</v>
      </c>
    </row>
    <row r="176" s="2" customFormat="1" spans="1:14">
      <c r="A176" s="20">
        <v>45922</v>
      </c>
      <c r="B176" s="2" t="s">
        <v>76</v>
      </c>
      <c r="C176" s="2" t="s">
        <v>77</v>
      </c>
      <c r="D176" s="2">
        <v>1</v>
      </c>
      <c r="E176" s="2">
        <v>716</v>
      </c>
      <c r="F176" s="2">
        <v>136</v>
      </c>
      <c r="G176" s="2">
        <v>229805</v>
      </c>
      <c r="H176" s="2">
        <v>9</v>
      </c>
      <c r="I176" s="2" t="s">
        <v>78</v>
      </c>
      <c r="J176" s="3">
        <v>0.189944134078212</v>
      </c>
      <c r="K176" s="21">
        <v>1689.74264705882</v>
      </c>
      <c r="L176" s="21">
        <v>25533.8888888889</v>
      </c>
      <c r="M176" s="21">
        <v>79.5555555555556</v>
      </c>
      <c r="N176" s="2" t="s">
        <v>79</v>
      </c>
    </row>
    <row r="177" s="2" customFormat="1" spans="1:14">
      <c r="A177" s="20">
        <v>45923</v>
      </c>
      <c r="B177" s="2" t="s">
        <v>76</v>
      </c>
      <c r="C177" s="2" t="s">
        <v>77</v>
      </c>
      <c r="D177" s="2">
        <v>1</v>
      </c>
      <c r="E177" s="2">
        <v>823</v>
      </c>
      <c r="F177" s="2">
        <v>154</v>
      </c>
      <c r="G177" s="2">
        <v>254028</v>
      </c>
      <c r="H177" s="2">
        <v>7</v>
      </c>
      <c r="I177" s="2" t="s">
        <v>78</v>
      </c>
      <c r="J177" s="3">
        <v>0.187120291616039</v>
      </c>
      <c r="K177" s="21">
        <v>1649.53246753247</v>
      </c>
      <c r="L177" s="21">
        <v>36289.7142857143</v>
      </c>
      <c r="M177" s="21">
        <v>117.571428571429</v>
      </c>
      <c r="N177" s="2" t="s">
        <v>79</v>
      </c>
    </row>
    <row r="178" s="2" customFormat="1" spans="1:14">
      <c r="A178" s="20">
        <v>45924</v>
      </c>
      <c r="B178" s="2" t="s">
        <v>76</v>
      </c>
      <c r="C178" s="2" t="s">
        <v>77</v>
      </c>
      <c r="D178" s="2">
        <v>1</v>
      </c>
      <c r="E178" s="2">
        <v>723</v>
      </c>
      <c r="F178" s="2">
        <v>138</v>
      </c>
      <c r="G178" s="2">
        <v>160401</v>
      </c>
      <c r="H178" s="2">
        <v>5</v>
      </c>
      <c r="I178" s="2" t="s">
        <v>78</v>
      </c>
      <c r="J178" s="3">
        <v>0.190871369294606</v>
      </c>
      <c r="K178" s="21">
        <v>1162.32608695652</v>
      </c>
      <c r="L178" s="21">
        <v>32080.2</v>
      </c>
      <c r="M178" s="21">
        <v>144.6</v>
      </c>
      <c r="N178" s="2" t="s">
        <v>79</v>
      </c>
    </row>
    <row r="179" s="2" customFormat="1" spans="1:14">
      <c r="A179" s="20">
        <v>45925</v>
      </c>
      <c r="B179" s="2" t="s">
        <v>76</v>
      </c>
      <c r="C179" s="2" t="s">
        <v>77</v>
      </c>
      <c r="D179" s="2">
        <v>1</v>
      </c>
      <c r="E179" s="2">
        <v>540</v>
      </c>
      <c r="F179" s="2">
        <v>99</v>
      </c>
      <c r="G179" s="2">
        <v>111105</v>
      </c>
      <c r="H179" s="2">
        <v>9</v>
      </c>
      <c r="I179" s="2" t="s">
        <v>78</v>
      </c>
      <c r="J179" s="3">
        <v>0.183333333333333</v>
      </c>
      <c r="K179" s="21">
        <v>1122.27272727273</v>
      </c>
      <c r="L179" s="21">
        <v>12345</v>
      </c>
      <c r="M179" s="21">
        <v>60</v>
      </c>
      <c r="N179" s="2" t="s">
        <v>79</v>
      </c>
    </row>
    <row r="180" s="2" customFormat="1" spans="1:14">
      <c r="A180" s="20">
        <v>45926</v>
      </c>
      <c r="B180" s="2" t="s">
        <v>76</v>
      </c>
      <c r="C180" s="2" t="s">
        <v>77</v>
      </c>
      <c r="D180" s="2">
        <v>1</v>
      </c>
      <c r="E180" s="2">
        <v>897</v>
      </c>
      <c r="F180" s="2">
        <v>161</v>
      </c>
      <c r="G180" s="2">
        <v>186756</v>
      </c>
      <c r="H180" s="2">
        <v>6</v>
      </c>
      <c r="I180" s="2" t="s">
        <v>78</v>
      </c>
      <c r="J180" s="3">
        <v>0.179487179487179</v>
      </c>
      <c r="K180" s="21">
        <v>1159.9751552795</v>
      </c>
      <c r="L180" s="21">
        <v>31126</v>
      </c>
      <c r="M180" s="21">
        <v>149.5</v>
      </c>
      <c r="N180" s="2" t="s">
        <v>79</v>
      </c>
    </row>
    <row r="181" s="2" customFormat="1" spans="1:14">
      <c r="A181" s="20">
        <v>45927</v>
      </c>
      <c r="B181" s="2" t="s">
        <v>76</v>
      </c>
      <c r="C181" s="2" t="s">
        <v>77</v>
      </c>
      <c r="D181" s="2">
        <v>1</v>
      </c>
      <c r="E181" s="2">
        <v>1158</v>
      </c>
      <c r="F181" s="2">
        <v>225</v>
      </c>
      <c r="G181" s="2">
        <v>344197</v>
      </c>
      <c r="H181" s="2">
        <v>4</v>
      </c>
      <c r="I181" s="2" t="s">
        <v>78</v>
      </c>
      <c r="J181" s="3">
        <v>0.194300518134715</v>
      </c>
      <c r="K181" s="21">
        <v>1529.76444444444</v>
      </c>
      <c r="L181" s="21">
        <v>86049.25</v>
      </c>
      <c r="M181" s="21">
        <v>289.5</v>
      </c>
      <c r="N181" s="2" t="s">
        <v>80</v>
      </c>
    </row>
    <row r="182" s="2" customFormat="1" spans="1:14">
      <c r="A182" s="20">
        <v>45748</v>
      </c>
      <c r="B182" s="2" t="s">
        <v>82</v>
      </c>
      <c r="C182" s="2" t="s">
        <v>83</v>
      </c>
      <c r="D182" s="2">
        <v>1</v>
      </c>
      <c r="E182" s="2">
        <v>644</v>
      </c>
      <c r="F182" s="2">
        <v>99</v>
      </c>
      <c r="G182" s="2">
        <v>115226</v>
      </c>
      <c r="H182" s="2">
        <v>6</v>
      </c>
      <c r="I182" s="2" t="s">
        <v>78</v>
      </c>
      <c r="J182" s="3">
        <v>0.153726708074534</v>
      </c>
      <c r="K182" s="21">
        <v>1163.89898989899</v>
      </c>
      <c r="L182" s="21">
        <v>19204.3333333333</v>
      </c>
      <c r="M182" s="21">
        <v>107.333333333333</v>
      </c>
      <c r="N182" s="2" t="s">
        <v>79</v>
      </c>
    </row>
    <row r="183" s="2" customFormat="1" spans="1:14">
      <c r="A183" s="20">
        <v>45749</v>
      </c>
      <c r="B183" s="2" t="s">
        <v>82</v>
      </c>
      <c r="C183" s="2" t="s">
        <v>83</v>
      </c>
      <c r="D183" s="2">
        <v>1</v>
      </c>
      <c r="E183" s="2">
        <v>851</v>
      </c>
      <c r="F183" s="2">
        <v>156</v>
      </c>
      <c r="G183" s="2">
        <v>204566</v>
      </c>
      <c r="H183" s="2">
        <v>7</v>
      </c>
      <c r="I183" s="2" t="s">
        <v>81</v>
      </c>
      <c r="J183" s="3">
        <v>0.18331374853114</v>
      </c>
      <c r="K183" s="21">
        <v>1311.32051282051</v>
      </c>
      <c r="L183" s="21">
        <v>29223.7142857143</v>
      </c>
      <c r="M183" s="21">
        <v>121.571428571429</v>
      </c>
      <c r="N183" s="2" t="s">
        <v>79</v>
      </c>
    </row>
    <row r="184" s="2" customFormat="1" spans="1:14">
      <c r="A184" s="20">
        <v>45750</v>
      </c>
      <c r="B184" s="2" t="s">
        <v>82</v>
      </c>
      <c r="C184" s="2" t="s">
        <v>83</v>
      </c>
      <c r="D184" s="2">
        <v>1</v>
      </c>
      <c r="E184" s="2">
        <v>877</v>
      </c>
      <c r="F184" s="2">
        <v>148</v>
      </c>
      <c r="G184" s="2">
        <v>167436</v>
      </c>
      <c r="H184" s="2">
        <v>4</v>
      </c>
      <c r="I184" s="2" t="s">
        <v>78</v>
      </c>
      <c r="J184" s="3">
        <v>0.168757126567845</v>
      </c>
      <c r="K184" s="21">
        <v>1131.32432432432</v>
      </c>
      <c r="L184" s="21">
        <v>41859</v>
      </c>
      <c r="M184" s="21">
        <v>219.25</v>
      </c>
      <c r="N184" s="2" t="s">
        <v>79</v>
      </c>
    </row>
    <row r="185" s="2" customFormat="1" spans="1:14">
      <c r="A185" s="20">
        <v>45751</v>
      </c>
      <c r="B185" s="2" t="s">
        <v>82</v>
      </c>
      <c r="C185" s="2" t="s">
        <v>83</v>
      </c>
      <c r="D185" s="2">
        <v>1</v>
      </c>
      <c r="E185" s="2">
        <v>796</v>
      </c>
      <c r="F185" s="2">
        <v>119</v>
      </c>
      <c r="G185" s="2">
        <v>192296</v>
      </c>
      <c r="H185" s="2">
        <v>4</v>
      </c>
      <c r="I185" s="2" t="s">
        <v>78</v>
      </c>
      <c r="J185" s="3">
        <v>0.149497487437186</v>
      </c>
      <c r="K185" s="21">
        <v>1615.93277310924</v>
      </c>
      <c r="L185" s="21">
        <v>48074</v>
      </c>
      <c r="M185" s="21">
        <v>199</v>
      </c>
      <c r="N185" s="2" t="s">
        <v>79</v>
      </c>
    </row>
    <row r="186" s="2" customFormat="1" spans="1:14">
      <c r="A186" s="20">
        <v>45752</v>
      </c>
      <c r="B186" s="2" t="s">
        <v>82</v>
      </c>
      <c r="C186" s="2" t="s">
        <v>83</v>
      </c>
      <c r="D186" s="2">
        <v>1</v>
      </c>
      <c r="E186" s="2">
        <v>1092</v>
      </c>
      <c r="F186" s="2">
        <v>170</v>
      </c>
      <c r="G186" s="2">
        <v>262673</v>
      </c>
      <c r="H186" s="2">
        <v>6</v>
      </c>
      <c r="I186" s="2" t="s">
        <v>78</v>
      </c>
      <c r="J186" s="3">
        <v>0.155677655677656</v>
      </c>
      <c r="K186" s="21">
        <v>1545.13529411765</v>
      </c>
      <c r="L186" s="21">
        <v>43778.8333333333</v>
      </c>
      <c r="M186" s="21">
        <v>182</v>
      </c>
      <c r="N186" s="2" t="s">
        <v>80</v>
      </c>
    </row>
    <row r="187" s="2" customFormat="1" spans="1:14">
      <c r="A187" s="20">
        <v>45753</v>
      </c>
      <c r="B187" s="2" t="s">
        <v>82</v>
      </c>
      <c r="C187" s="2" t="s">
        <v>83</v>
      </c>
      <c r="D187" s="2">
        <v>1</v>
      </c>
      <c r="E187" s="2">
        <v>809</v>
      </c>
      <c r="F187" s="2">
        <v>136</v>
      </c>
      <c r="G187" s="2">
        <v>214032</v>
      </c>
      <c r="H187" s="2">
        <v>7</v>
      </c>
      <c r="I187" s="2" t="s">
        <v>78</v>
      </c>
      <c r="J187" s="3">
        <v>0.168108776266996</v>
      </c>
      <c r="K187" s="21">
        <v>1573.76470588235</v>
      </c>
      <c r="L187" s="21">
        <v>30576</v>
      </c>
      <c r="M187" s="21">
        <v>115.571428571429</v>
      </c>
      <c r="N187" s="2" t="s">
        <v>80</v>
      </c>
    </row>
    <row r="188" s="2" customFormat="1" spans="1:14">
      <c r="A188" s="20">
        <v>45754</v>
      </c>
      <c r="B188" s="2" t="s">
        <v>82</v>
      </c>
      <c r="C188" s="2" t="s">
        <v>83</v>
      </c>
      <c r="D188" s="2">
        <v>1</v>
      </c>
      <c r="E188" s="2">
        <v>768</v>
      </c>
      <c r="F188" s="2">
        <v>130</v>
      </c>
      <c r="G188" s="2">
        <v>205622</v>
      </c>
      <c r="H188" s="2">
        <v>6</v>
      </c>
      <c r="I188" s="2" t="s">
        <v>78</v>
      </c>
      <c r="J188" s="3">
        <v>0.169270833333333</v>
      </c>
      <c r="K188" s="21">
        <v>1581.70769230769</v>
      </c>
      <c r="L188" s="21">
        <v>34270.3333333333</v>
      </c>
      <c r="M188" s="21">
        <v>128</v>
      </c>
      <c r="N188" s="2" t="s">
        <v>79</v>
      </c>
    </row>
    <row r="189" s="2" customFormat="1" spans="1:14">
      <c r="A189" s="20">
        <v>45755</v>
      </c>
      <c r="B189" s="2" t="s">
        <v>82</v>
      </c>
      <c r="C189" s="2" t="s">
        <v>83</v>
      </c>
      <c r="D189" s="2">
        <v>1</v>
      </c>
      <c r="E189" s="2">
        <v>671</v>
      </c>
      <c r="F189" s="2">
        <v>98</v>
      </c>
      <c r="G189" s="2">
        <v>139390</v>
      </c>
      <c r="H189" s="2">
        <v>4</v>
      </c>
      <c r="I189" s="2" t="s">
        <v>78</v>
      </c>
      <c r="J189" s="3">
        <v>0.146050670640835</v>
      </c>
      <c r="K189" s="21">
        <v>1422.34693877551</v>
      </c>
      <c r="L189" s="21">
        <v>34847.5</v>
      </c>
      <c r="M189" s="21">
        <v>167.75</v>
      </c>
      <c r="N189" s="2" t="s">
        <v>79</v>
      </c>
    </row>
    <row r="190" s="2" customFormat="1" spans="1:14">
      <c r="A190" s="20">
        <v>45756</v>
      </c>
      <c r="B190" s="2" t="s">
        <v>82</v>
      </c>
      <c r="C190" s="2" t="s">
        <v>83</v>
      </c>
      <c r="D190" s="2">
        <v>1</v>
      </c>
      <c r="E190" s="2">
        <v>621</v>
      </c>
      <c r="F190" s="2">
        <v>116</v>
      </c>
      <c r="G190" s="2">
        <v>162527</v>
      </c>
      <c r="H190" s="2">
        <v>8</v>
      </c>
      <c r="I190" s="2" t="s">
        <v>78</v>
      </c>
      <c r="J190" s="3">
        <v>0.186795491143317</v>
      </c>
      <c r="K190" s="21">
        <v>1401.09482758621</v>
      </c>
      <c r="L190" s="21">
        <v>20315.875</v>
      </c>
      <c r="M190" s="21">
        <v>77.625</v>
      </c>
      <c r="N190" s="2" t="s">
        <v>79</v>
      </c>
    </row>
    <row r="191" s="2" customFormat="1" spans="1:14">
      <c r="A191" s="20">
        <v>45757</v>
      </c>
      <c r="B191" s="2" t="s">
        <v>82</v>
      </c>
      <c r="C191" s="2" t="s">
        <v>83</v>
      </c>
      <c r="D191" s="2">
        <v>1</v>
      </c>
      <c r="E191" s="2">
        <v>782</v>
      </c>
      <c r="F191" s="2">
        <v>126</v>
      </c>
      <c r="G191" s="2">
        <v>192796</v>
      </c>
      <c r="H191" s="2">
        <v>7</v>
      </c>
      <c r="I191" s="2" t="s">
        <v>78</v>
      </c>
      <c r="J191" s="3">
        <v>0.161125319693095</v>
      </c>
      <c r="K191" s="21">
        <v>1530.12698412698</v>
      </c>
      <c r="L191" s="21">
        <v>27542.2857142857</v>
      </c>
      <c r="M191" s="21">
        <v>111.714285714286</v>
      </c>
      <c r="N191" s="2" t="s">
        <v>79</v>
      </c>
    </row>
    <row r="192" s="2" customFormat="1" spans="1:14">
      <c r="A192" s="20">
        <v>45758</v>
      </c>
      <c r="B192" s="2" t="s">
        <v>82</v>
      </c>
      <c r="C192" s="2" t="s">
        <v>83</v>
      </c>
      <c r="D192" s="2">
        <v>1</v>
      </c>
      <c r="E192" s="2">
        <v>809</v>
      </c>
      <c r="F192" s="2">
        <v>132</v>
      </c>
      <c r="G192" s="2">
        <v>160857</v>
      </c>
      <c r="H192" s="2">
        <v>9</v>
      </c>
      <c r="I192" s="2" t="s">
        <v>78</v>
      </c>
      <c r="J192" s="3">
        <v>0.163164400494438</v>
      </c>
      <c r="K192" s="21">
        <v>1218.61363636364</v>
      </c>
      <c r="L192" s="21">
        <v>17873</v>
      </c>
      <c r="M192" s="21">
        <v>89.8888888888889</v>
      </c>
      <c r="N192" s="2" t="s">
        <v>79</v>
      </c>
    </row>
    <row r="193" s="2" customFormat="1" spans="1:14">
      <c r="A193" s="20">
        <v>45759</v>
      </c>
      <c r="B193" s="2" t="s">
        <v>82</v>
      </c>
      <c r="C193" s="2" t="s">
        <v>83</v>
      </c>
      <c r="D193" s="2">
        <v>1</v>
      </c>
      <c r="E193" s="2">
        <v>988</v>
      </c>
      <c r="F193" s="2">
        <v>185</v>
      </c>
      <c r="G193" s="2">
        <v>215407</v>
      </c>
      <c r="H193" s="2">
        <v>9</v>
      </c>
      <c r="I193" s="2" t="s">
        <v>78</v>
      </c>
      <c r="J193" s="3">
        <v>0.187246963562753</v>
      </c>
      <c r="K193" s="21">
        <v>1164.36216216216</v>
      </c>
      <c r="L193" s="21">
        <v>23934.1111111111</v>
      </c>
      <c r="M193" s="21">
        <v>109.777777777778</v>
      </c>
      <c r="N193" s="2" t="s">
        <v>80</v>
      </c>
    </row>
    <row r="194" s="2" customFormat="1" spans="1:14">
      <c r="A194" s="20">
        <v>45760</v>
      </c>
      <c r="B194" s="2" t="s">
        <v>82</v>
      </c>
      <c r="C194" s="2" t="s">
        <v>83</v>
      </c>
      <c r="D194" s="2">
        <v>1</v>
      </c>
      <c r="E194" s="2">
        <v>843</v>
      </c>
      <c r="F194" s="2">
        <v>140</v>
      </c>
      <c r="G194" s="2">
        <v>157407</v>
      </c>
      <c r="H194" s="2">
        <v>5</v>
      </c>
      <c r="I194" s="2" t="s">
        <v>78</v>
      </c>
      <c r="J194" s="3">
        <v>0.166073546856465</v>
      </c>
      <c r="K194" s="21">
        <v>1124.33571428571</v>
      </c>
      <c r="L194" s="21">
        <v>31481.4</v>
      </c>
      <c r="M194" s="21">
        <v>168.6</v>
      </c>
      <c r="N194" s="2" t="s">
        <v>80</v>
      </c>
    </row>
    <row r="195" s="2" customFormat="1" spans="1:14">
      <c r="A195" s="20">
        <v>45761</v>
      </c>
      <c r="B195" s="2" t="s">
        <v>82</v>
      </c>
      <c r="C195" s="2" t="s">
        <v>83</v>
      </c>
      <c r="D195" s="2">
        <v>1</v>
      </c>
      <c r="E195" s="2">
        <v>800</v>
      </c>
      <c r="F195" s="2">
        <v>128</v>
      </c>
      <c r="G195" s="2">
        <v>160262</v>
      </c>
      <c r="H195" s="2">
        <v>5</v>
      </c>
      <c r="I195" s="2" t="s">
        <v>81</v>
      </c>
      <c r="J195" s="3">
        <v>0.16</v>
      </c>
      <c r="K195" s="21">
        <v>1252.046875</v>
      </c>
      <c r="L195" s="21">
        <v>32052.4</v>
      </c>
      <c r="M195" s="21">
        <v>160</v>
      </c>
      <c r="N195" s="2" t="s">
        <v>79</v>
      </c>
    </row>
    <row r="196" s="2" customFormat="1" spans="1:14">
      <c r="A196" s="20">
        <v>45762</v>
      </c>
      <c r="B196" s="2" t="s">
        <v>82</v>
      </c>
      <c r="C196" s="2" t="s">
        <v>83</v>
      </c>
      <c r="D196" s="2">
        <v>1</v>
      </c>
      <c r="E196" s="2">
        <v>683</v>
      </c>
      <c r="F196" s="2">
        <v>106</v>
      </c>
      <c r="G196" s="2">
        <v>117781</v>
      </c>
      <c r="H196" s="2">
        <v>4</v>
      </c>
      <c r="I196" s="2" t="s">
        <v>78</v>
      </c>
      <c r="J196" s="3">
        <v>0.155197657393851</v>
      </c>
      <c r="K196" s="21">
        <v>1111.14150943396</v>
      </c>
      <c r="L196" s="21">
        <v>29445.25</v>
      </c>
      <c r="M196" s="21">
        <v>170.75</v>
      </c>
      <c r="N196" s="2" t="s">
        <v>79</v>
      </c>
    </row>
    <row r="197" s="2" customFormat="1" spans="1:14">
      <c r="A197" s="20">
        <v>45763</v>
      </c>
      <c r="B197" s="2" t="s">
        <v>82</v>
      </c>
      <c r="C197" s="2" t="s">
        <v>83</v>
      </c>
      <c r="D197" s="2">
        <v>1</v>
      </c>
      <c r="E197" s="2">
        <v>742</v>
      </c>
      <c r="F197" s="2">
        <v>119</v>
      </c>
      <c r="G197" s="2">
        <v>134561</v>
      </c>
      <c r="H197" s="2">
        <v>9</v>
      </c>
      <c r="I197" s="2" t="s">
        <v>78</v>
      </c>
      <c r="J197" s="3">
        <v>0.160377358490566</v>
      </c>
      <c r="K197" s="21">
        <v>1130.76470588235</v>
      </c>
      <c r="L197" s="21">
        <v>14951.2222222222</v>
      </c>
      <c r="M197" s="21">
        <v>82.4444444444444</v>
      </c>
      <c r="N197" s="2" t="s">
        <v>79</v>
      </c>
    </row>
    <row r="198" s="2" customFormat="1" spans="1:14">
      <c r="A198" s="20">
        <v>45764</v>
      </c>
      <c r="B198" s="2" t="s">
        <v>82</v>
      </c>
      <c r="C198" s="2" t="s">
        <v>83</v>
      </c>
      <c r="D198" s="2">
        <v>1</v>
      </c>
      <c r="E198" s="2">
        <v>900</v>
      </c>
      <c r="F198" s="2">
        <v>138</v>
      </c>
      <c r="G198" s="2">
        <v>184342</v>
      </c>
      <c r="H198" s="2">
        <v>7</v>
      </c>
      <c r="I198" s="2" t="s">
        <v>78</v>
      </c>
      <c r="J198" s="3">
        <v>0.153333333333333</v>
      </c>
      <c r="K198" s="21">
        <v>1335.8115942029</v>
      </c>
      <c r="L198" s="21">
        <v>26334.5714285714</v>
      </c>
      <c r="M198" s="21">
        <v>128.571428571429</v>
      </c>
      <c r="N198" s="2" t="s">
        <v>79</v>
      </c>
    </row>
    <row r="199" s="2" customFormat="1" spans="1:14">
      <c r="A199" s="20">
        <v>45765</v>
      </c>
      <c r="B199" s="2" t="s">
        <v>82</v>
      </c>
      <c r="C199" s="2" t="s">
        <v>83</v>
      </c>
      <c r="D199" s="2">
        <v>1</v>
      </c>
      <c r="E199" s="2">
        <v>882</v>
      </c>
      <c r="F199" s="2">
        <v>161</v>
      </c>
      <c r="G199" s="2">
        <v>261567</v>
      </c>
      <c r="H199" s="2">
        <v>8</v>
      </c>
      <c r="I199" s="2" t="s">
        <v>78</v>
      </c>
      <c r="J199" s="3">
        <v>0.182539682539683</v>
      </c>
      <c r="K199" s="21">
        <v>1624.63975155279</v>
      </c>
      <c r="L199" s="21">
        <v>32695.875</v>
      </c>
      <c r="M199" s="21">
        <v>110.25</v>
      </c>
      <c r="N199" s="2" t="s">
        <v>79</v>
      </c>
    </row>
    <row r="200" s="2" customFormat="1" spans="1:14">
      <c r="A200" s="20">
        <v>45766</v>
      </c>
      <c r="B200" s="2" t="s">
        <v>82</v>
      </c>
      <c r="C200" s="2" t="s">
        <v>83</v>
      </c>
      <c r="D200" s="2">
        <v>1</v>
      </c>
      <c r="E200" s="2">
        <v>978</v>
      </c>
      <c r="F200" s="2">
        <v>145</v>
      </c>
      <c r="G200" s="2">
        <v>190098</v>
      </c>
      <c r="H200" s="2">
        <v>5</v>
      </c>
      <c r="I200" s="2" t="s">
        <v>78</v>
      </c>
      <c r="J200" s="3">
        <v>0.148261758691207</v>
      </c>
      <c r="K200" s="21">
        <v>1311.02068965517</v>
      </c>
      <c r="L200" s="21">
        <v>38019.6</v>
      </c>
      <c r="M200" s="21">
        <v>195.6</v>
      </c>
      <c r="N200" s="2" t="s">
        <v>80</v>
      </c>
    </row>
    <row r="201" s="2" customFormat="1" spans="1:14">
      <c r="A201" s="20">
        <v>45767</v>
      </c>
      <c r="B201" s="2" t="s">
        <v>82</v>
      </c>
      <c r="C201" s="2" t="s">
        <v>83</v>
      </c>
      <c r="D201" s="2">
        <v>1</v>
      </c>
      <c r="E201" s="2">
        <v>1221</v>
      </c>
      <c r="F201" s="2">
        <v>226</v>
      </c>
      <c r="G201" s="2">
        <v>281998</v>
      </c>
      <c r="H201" s="2">
        <v>9</v>
      </c>
      <c r="I201" s="2" t="s">
        <v>78</v>
      </c>
      <c r="J201" s="3">
        <v>0.185094185094185</v>
      </c>
      <c r="K201" s="21">
        <v>1247.77876106195</v>
      </c>
      <c r="L201" s="21">
        <v>31333.1111111111</v>
      </c>
      <c r="M201" s="21">
        <v>135.666666666667</v>
      </c>
      <c r="N201" s="2" t="s">
        <v>80</v>
      </c>
    </row>
    <row r="202" s="2" customFormat="1" spans="1:14">
      <c r="A202" s="20">
        <v>45768</v>
      </c>
      <c r="B202" s="2" t="s">
        <v>82</v>
      </c>
      <c r="C202" s="2" t="s">
        <v>83</v>
      </c>
      <c r="D202" s="2">
        <v>1</v>
      </c>
      <c r="E202" s="2">
        <v>677</v>
      </c>
      <c r="F202" s="2">
        <v>113</v>
      </c>
      <c r="G202" s="2">
        <v>191223</v>
      </c>
      <c r="H202" s="2">
        <v>9</v>
      </c>
      <c r="I202" s="2" t="s">
        <v>78</v>
      </c>
      <c r="J202" s="3">
        <v>0.166912850812408</v>
      </c>
      <c r="K202" s="21">
        <v>1692.2389380531</v>
      </c>
      <c r="L202" s="21">
        <v>21247</v>
      </c>
      <c r="M202" s="21">
        <v>75.2222222222222</v>
      </c>
      <c r="N202" s="2" t="s">
        <v>79</v>
      </c>
    </row>
    <row r="203" s="2" customFormat="1" spans="1:14">
      <c r="A203" s="20">
        <v>45769</v>
      </c>
      <c r="B203" s="2" t="s">
        <v>82</v>
      </c>
      <c r="C203" s="2" t="s">
        <v>83</v>
      </c>
      <c r="D203" s="2">
        <v>1</v>
      </c>
      <c r="E203" s="2">
        <v>728</v>
      </c>
      <c r="F203" s="2">
        <v>139</v>
      </c>
      <c r="G203" s="2">
        <v>222041</v>
      </c>
      <c r="H203" s="2">
        <v>9</v>
      </c>
      <c r="I203" s="2" t="s">
        <v>78</v>
      </c>
      <c r="J203" s="3">
        <v>0.190934065934066</v>
      </c>
      <c r="K203" s="21">
        <v>1597.41726618705</v>
      </c>
      <c r="L203" s="21">
        <v>24671.2222222222</v>
      </c>
      <c r="M203" s="21">
        <v>80.8888888888889</v>
      </c>
      <c r="N203" s="2" t="s">
        <v>79</v>
      </c>
    </row>
    <row r="204" s="2" customFormat="1" spans="1:14">
      <c r="A204" s="20">
        <v>45770</v>
      </c>
      <c r="B204" s="2" t="s">
        <v>82</v>
      </c>
      <c r="C204" s="2" t="s">
        <v>83</v>
      </c>
      <c r="D204" s="2">
        <v>1</v>
      </c>
      <c r="E204" s="2">
        <v>666</v>
      </c>
      <c r="F204" s="2">
        <v>103</v>
      </c>
      <c r="G204" s="2">
        <v>156914</v>
      </c>
      <c r="H204" s="2">
        <v>5</v>
      </c>
      <c r="I204" s="2" t="s">
        <v>78</v>
      </c>
      <c r="J204" s="3">
        <v>0.154654654654655</v>
      </c>
      <c r="K204" s="21">
        <v>1523.43689320388</v>
      </c>
      <c r="L204" s="21">
        <v>31382.8</v>
      </c>
      <c r="M204" s="21">
        <v>133.2</v>
      </c>
      <c r="N204" s="2" t="s">
        <v>79</v>
      </c>
    </row>
    <row r="205" s="2" customFormat="1" spans="1:14">
      <c r="A205" s="20">
        <v>45771</v>
      </c>
      <c r="B205" s="2" t="s">
        <v>82</v>
      </c>
      <c r="C205" s="2" t="s">
        <v>83</v>
      </c>
      <c r="D205" s="2">
        <v>1</v>
      </c>
      <c r="E205" s="2">
        <v>767</v>
      </c>
      <c r="F205" s="2">
        <v>124</v>
      </c>
      <c r="G205" s="2">
        <v>172236</v>
      </c>
      <c r="H205" s="2">
        <v>8</v>
      </c>
      <c r="I205" s="2" t="s">
        <v>78</v>
      </c>
      <c r="J205" s="3">
        <v>0.161668839634941</v>
      </c>
      <c r="K205" s="21">
        <v>1389</v>
      </c>
      <c r="L205" s="21">
        <v>21529.5</v>
      </c>
      <c r="M205" s="21">
        <v>95.875</v>
      </c>
      <c r="N205" s="2" t="s">
        <v>79</v>
      </c>
    </row>
    <row r="206" s="2" customFormat="1" spans="1:14">
      <c r="A206" s="20">
        <v>45772</v>
      </c>
      <c r="B206" s="2" t="s">
        <v>82</v>
      </c>
      <c r="C206" s="2" t="s">
        <v>83</v>
      </c>
      <c r="D206" s="2">
        <v>1</v>
      </c>
      <c r="E206" s="2">
        <v>750</v>
      </c>
      <c r="F206" s="2">
        <v>115</v>
      </c>
      <c r="G206" s="2">
        <v>136476</v>
      </c>
      <c r="H206" s="2">
        <v>7</v>
      </c>
      <c r="I206" s="2" t="s">
        <v>78</v>
      </c>
      <c r="J206" s="3">
        <v>0.153333333333333</v>
      </c>
      <c r="K206" s="21">
        <v>1186.74782608696</v>
      </c>
      <c r="L206" s="21">
        <v>19496.5714285714</v>
      </c>
      <c r="M206" s="21">
        <v>107.142857142857</v>
      </c>
      <c r="N206" s="2" t="s">
        <v>79</v>
      </c>
    </row>
    <row r="207" s="2" customFormat="1" spans="1:14">
      <c r="A207" s="20">
        <v>45773</v>
      </c>
      <c r="B207" s="2" t="s">
        <v>82</v>
      </c>
      <c r="C207" s="2" t="s">
        <v>83</v>
      </c>
      <c r="D207" s="2">
        <v>1</v>
      </c>
      <c r="E207" s="2">
        <v>987</v>
      </c>
      <c r="F207" s="2">
        <v>151</v>
      </c>
      <c r="G207" s="2">
        <v>185370</v>
      </c>
      <c r="H207" s="2">
        <v>4</v>
      </c>
      <c r="I207" s="2" t="s">
        <v>78</v>
      </c>
      <c r="J207" s="3">
        <v>0.152988855116515</v>
      </c>
      <c r="K207" s="21">
        <v>1227.61589403973</v>
      </c>
      <c r="L207" s="21">
        <v>46342.5</v>
      </c>
      <c r="M207" s="21">
        <v>246.75</v>
      </c>
      <c r="N207" s="2" t="s">
        <v>80</v>
      </c>
    </row>
    <row r="208" s="2" customFormat="1" spans="1:14">
      <c r="A208" s="20">
        <v>45774</v>
      </c>
      <c r="B208" s="2" t="s">
        <v>82</v>
      </c>
      <c r="C208" s="2" t="s">
        <v>83</v>
      </c>
      <c r="D208" s="2">
        <v>1</v>
      </c>
      <c r="E208" s="2">
        <v>1184</v>
      </c>
      <c r="F208" s="2">
        <v>193</v>
      </c>
      <c r="G208" s="2">
        <v>291490</v>
      </c>
      <c r="H208" s="2">
        <v>5</v>
      </c>
      <c r="I208" s="2" t="s">
        <v>78</v>
      </c>
      <c r="J208" s="3">
        <v>0.163006756756757</v>
      </c>
      <c r="K208" s="21">
        <v>1510.31088082902</v>
      </c>
      <c r="L208" s="21">
        <v>58298</v>
      </c>
      <c r="M208" s="21">
        <v>236.8</v>
      </c>
      <c r="N208" s="2" t="s">
        <v>80</v>
      </c>
    </row>
    <row r="209" s="2" customFormat="1" spans="1:14">
      <c r="A209" s="20">
        <v>45775</v>
      </c>
      <c r="B209" s="2" t="s">
        <v>82</v>
      </c>
      <c r="C209" s="2" t="s">
        <v>83</v>
      </c>
      <c r="D209" s="2">
        <v>1</v>
      </c>
      <c r="E209" s="2">
        <v>593</v>
      </c>
      <c r="F209" s="2">
        <v>86</v>
      </c>
      <c r="G209" s="2">
        <v>116268</v>
      </c>
      <c r="H209" s="2">
        <v>5</v>
      </c>
      <c r="I209" s="2" t="s">
        <v>78</v>
      </c>
      <c r="J209" s="3">
        <v>0.145025295109612</v>
      </c>
      <c r="K209" s="21">
        <v>1351.95348837209</v>
      </c>
      <c r="L209" s="21">
        <v>23253.6</v>
      </c>
      <c r="M209" s="21">
        <v>118.6</v>
      </c>
      <c r="N209" s="2" t="s">
        <v>79</v>
      </c>
    </row>
    <row r="210" s="2" customFormat="1" spans="1:14">
      <c r="A210" s="20">
        <v>45776</v>
      </c>
      <c r="B210" s="2" t="s">
        <v>82</v>
      </c>
      <c r="C210" s="2" t="s">
        <v>83</v>
      </c>
      <c r="D210" s="2">
        <v>1</v>
      </c>
      <c r="E210" s="2">
        <v>658</v>
      </c>
      <c r="F210" s="2">
        <v>116</v>
      </c>
      <c r="G210" s="2">
        <v>163537</v>
      </c>
      <c r="H210" s="2">
        <v>7</v>
      </c>
      <c r="I210" s="2" t="s">
        <v>78</v>
      </c>
      <c r="J210" s="3">
        <v>0.17629179331307</v>
      </c>
      <c r="K210" s="21">
        <v>1409.80172413793</v>
      </c>
      <c r="L210" s="21">
        <v>23362.4285714286</v>
      </c>
      <c r="M210" s="21">
        <v>94</v>
      </c>
      <c r="N210" s="2" t="s">
        <v>79</v>
      </c>
    </row>
    <row r="211" s="2" customFormat="1" spans="1:14">
      <c r="A211" s="20">
        <v>45777</v>
      </c>
      <c r="B211" s="2" t="s">
        <v>82</v>
      </c>
      <c r="C211" s="2" t="s">
        <v>83</v>
      </c>
      <c r="D211" s="2">
        <v>1</v>
      </c>
      <c r="E211" s="2">
        <v>731</v>
      </c>
      <c r="F211" s="2">
        <v>126</v>
      </c>
      <c r="G211" s="2">
        <v>191212</v>
      </c>
      <c r="H211" s="2">
        <v>4</v>
      </c>
      <c r="I211" s="2" t="s">
        <v>78</v>
      </c>
      <c r="J211" s="3">
        <v>0.172366621067031</v>
      </c>
      <c r="K211" s="21">
        <v>1517.55555555556</v>
      </c>
      <c r="L211" s="21">
        <v>47803</v>
      </c>
      <c r="M211" s="21">
        <v>182.75</v>
      </c>
      <c r="N211" s="2" t="s">
        <v>79</v>
      </c>
    </row>
    <row r="212" s="2" customFormat="1" spans="1:14">
      <c r="A212" s="20">
        <v>45778</v>
      </c>
      <c r="B212" s="2" t="s">
        <v>82</v>
      </c>
      <c r="C212" s="2" t="s">
        <v>83</v>
      </c>
      <c r="D212" s="2">
        <v>1</v>
      </c>
      <c r="E212" s="2">
        <v>896</v>
      </c>
      <c r="F212" s="2">
        <v>151</v>
      </c>
      <c r="G212" s="2">
        <v>198695</v>
      </c>
      <c r="H212" s="2">
        <v>5</v>
      </c>
      <c r="I212" s="2" t="s">
        <v>81</v>
      </c>
      <c r="J212" s="3">
        <v>0.168526785714286</v>
      </c>
      <c r="K212" s="21">
        <v>1315.86092715232</v>
      </c>
      <c r="L212" s="21">
        <v>39739</v>
      </c>
      <c r="M212" s="21">
        <v>179.2</v>
      </c>
      <c r="N212" s="2" t="s">
        <v>79</v>
      </c>
    </row>
    <row r="213" s="2" customFormat="1" spans="1:14">
      <c r="A213" s="20">
        <v>45779</v>
      </c>
      <c r="B213" s="2" t="s">
        <v>82</v>
      </c>
      <c r="C213" s="2" t="s">
        <v>83</v>
      </c>
      <c r="D213" s="2">
        <v>1</v>
      </c>
      <c r="E213" s="2">
        <v>764</v>
      </c>
      <c r="F213" s="2">
        <v>134</v>
      </c>
      <c r="G213" s="2">
        <v>207566</v>
      </c>
      <c r="H213" s="2">
        <v>6</v>
      </c>
      <c r="I213" s="2" t="s">
        <v>78</v>
      </c>
      <c r="J213" s="3">
        <v>0.175392670157068</v>
      </c>
      <c r="K213" s="21">
        <v>1549</v>
      </c>
      <c r="L213" s="21">
        <v>34594.3333333333</v>
      </c>
      <c r="M213" s="21">
        <v>127.333333333333</v>
      </c>
      <c r="N213" s="2" t="s">
        <v>79</v>
      </c>
    </row>
    <row r="214" s="2" customFormat="1" spans="1:14">
      <c r="A214" s="20">
        <v>45780</v>
      </c>
      <c r="B214" s="2" t="s">
        <v>82</v>
      </c>
      <c r="C214" s="2" t="s">
        <v>83</v>
      </c>
      <c r="D214" s="2">
        <v>1</v>
      </c>
      <c r="E214" s="2">
        <v>1036</v>
      </c>
      <c r="F214" s="2">
        <v>160</v>
      </c>
      <c r="G214" s="2">
        <v>205720</v>
      </c>
      <c r="H214" s="2">
        <v>7</v>
      </c>
      <c r="I214" s="2" t="s">
        <v>78</v>
      </c>
      <c r="J214" s="3">
        <v>0.154440154440154</v>
      </c>
      <c r="K214" s="21">
        <v>1285.75</v>
      </c>
      <c r="L214" s="21">
        <v>29388.5714285714</v>
      </c>
      <c r="M214" s="21">
        <v>148</v>
      </c>
      <c r="N214" s="2" t="s">
        <v>80</v>
      </c>
    </row>
    <row r="215" s="2" customFormat="1" spans="1:14">
      <c r="A215" s="20">
        <v>45781</v>
      </c>
      <c r="B215" s="2" t="s">
        <v>82</v>
      </c>
      <c r="C215" s="2" t="s">
        <v>83</v>
      </c>
      <c r="D215" s="2">
        <v>1</v>
      </c>
      <c r="E215" s="2">
        <v>1028</v>
      </c>
      <c r="F215" s="2">
        <v>192</v>
      </c>
      <c r="G215" s="2">
        <v>289211</v>
      </c>
      <c r="H215" s="2">
        <v>8</v>
      </c>
      <c r="I215" s="2" t="s">
        <v>78</v>
      </c>
      <c r="J215" s="3">
        <v>0.186770428015564</v>
      </c>
      <c r="K215" s="21">
        <v>1506.30729166667</v>
      </c>
      <c r="L215" s="21">
        <v>36151.375</v>
      </c>
      <c r="M215" s="21">
        <v>128.5</v>
      </c>
      <c r="N215" s="2" t="s">
        <v>80</v>
      </c>
    </row>
    <row r="216" s="2" customFormat="1" spans="1:14">
      <c r="A216" s="20">
        <v>45782</v>
      </c>
      <c r="B216" s="2" t="s">
        <v>82</v>
      </c>
      <c r="C216" s="2" t="s">
        <v>83</v>
      </c>
      <c r="D216" s="2">
        <v>1</v>
      </c>
      <c r="E216" s="2">
        <v>788</v>
      </c>
      <c r="F216" s="2">
        <v>117</v>
      </c>
      <c r="G216" s="2">
        <v>176292</v>
      </c>
      <c r="H216" s="2">
        <v>6</v>
      </c>
      <c r="I216" s="2" t="s">
        <v>78</v>
      </c>
      <c r="J216" s="3">
        <v>0.148477157360406</v>
      </c>
      <c r="K216" s="21">
        <v>1506.76923076923</v>
      </c>
      <c r="L216" s="21">
        <v>29382</v>
      </c>
      <c r="M216" s="21">
        <v>131.333333333333</v>
      </c>
      <c r="N216" s="2" t="s">
        <v>79</v>
      </c>
    </row>
    <row r="217" s="2" customFormat="1" spans="1:14">
      <c r="A217" s="20">
        <v>45783</v>
      </c>
      <c r="B217" s="2" t="s">
        <v>82</v>
      </c>
      <c r="C217" s="2" t="s">
        <v>83</v>
      </c>
      <c r="D217" s="2">
        <v>1</v>
      </c>
      <c r="E217" s="2">
        <v>796</v>
      </c>
      <c r="F217" s="2">
        <v>134</v>
      </c>
      <c r="G217" s="2">
        <v>151133</v>
      </c>
      <c r="H217" s="2">
        <v>9</v>
      </c>
      <c r="I217" s="2" t="s">
        <v>78</v>
      </c>
      <c r="J217" s="3">
        <v>0.168341708542714</v>
      </c>
      <c r="K217" s="21">
        <v>1127.85820895522</v>
      </c>
      <c r="L217" s="21">
        <v>16792.5555555556</v>
      </c>
      <c r="M217" s="21">
        <v>88.4444444444444</v>
      </c>
      <c r="N217" s="2" t="s">
        <v>79</v>
      </c>
    </row>
    <row r="218" s="2" customFormat="1" spans="1:14">
      <c r="A218" s="20">
        <v>45784</v>
      </c>
      <c r="B218" s="2" t="s">
        <v>82</v>
      </c>
      <c r="C218" s="2" t="s">
        <v>83</v>
      </c>
      <c r="D218" s="2">
        <v>1</v>
      </c>
      <c r="E218" s="2">
        <v>669</v>
      </c>
      <c r="F218" s="2">
        <v>97</v>
      </c>
      <c r="G218" s="2">
        <v>127943</v>
      </c>
      <c r="H218" s="2">
        <v>5</v>
      </c>
      <c r="I218" s="2" t="s">
        <v>81</v>
      </c>
      <c r="J218" s="3">
        <v>0.144992526158445</v>
      </c>
      <c r="K218" s="21">
        <v>1319</v>
      </c>
      <c r="L218" s="21">
        <v>25588.6</v>
      </c>
      <c r="M218" s="21">
        <v>133.8</v>
      </c>
      <c r="N218" s="2" t="s">
        <v>79</v>
      </c>
    </row>
    <row r="219" s="2" customFormat="1" spans="1:14">
      <c r="A219" s="20">
        <v>45785</v>
      </c>
      <c r="B219" s="2" t="s">
        <v>82</v>
      </c>
      <c r="C219" s="2" t="s">
        <v>83</v>
      </c>
      <c r="D219" s="2">
        <v>1</v>
      </c>
      <c r="E219" s="2">
        <v>828</v>
      </c>
      <c r="F219" s="2">
        <v>144</v>
      </c>
      <c r="G219" s="2">
        <v>176834</v>
      </c>
      <c r="H219" s="2">
        <v>9</v>
      </c>
      <c r="I219" s="2" t="s">
        <v>81</v>
      </c>
      <c r="J219" s="3">
        <v>0.173913043478261</v>
      </c>
      <c r="K219" s="21">
        <v>1228.01388888889</v>
      </c>
      <c r="L219" s="21">
        <v>19648.2222222222</v>
      </c>
      <c r="M219" s="21">
        <v>92</v>
      </c>
      <c r="N219" s="2" t="s">
        <v>79</v>
      </c>
    </row>
    <row r="220" s="2" customFormat="1" spans="1:14">
      <c r="A220" s="20">
        <v>45786</v>
      </c>
      <c r="B220" s="2" t="s">
        <v>82</v>
      </c>
      <c r="C220" s="2" t="s">
        <v>83</v>
      </c>
      <c r="D220" s="2">
        <v>1</v>
      </c>
      <c r="E220" s="2">
        <v>636</v>
      </c>
      <c r="F220" s="2">
        <v>104</v>
      </c>
      <c r="G220" s="2">
        <v>128893</v>
      </c>
      <c r="H220" s="2">
        <v>9</v>
      </c>
      <c r="I220" s="2" t="s">
        <v>78</v>
      </c>
      <c r="J220" s="3">
        <v>0.163522012578616</v>
      </c>
      <c r="K220" s="21">
        <v>1239.35576923077</v>
      </c>
      <c r="L220" s="21">
        <v>14321.4444444445</v>
      </c>
      <c r="M220" s="21">
        <v>70.6666666666667</v>
      </c>
      <c r="N220" s="2" t="s">
        <v>79</v>
      </c>
    </row>
    <row r="221" s="2" customFormat="1" spans="1:14">
      <c r="A221" s="20">
        <v>45787</v>
      </c>
      <c r="B221" s="2" t="s">
        <v>82</v>
      </c>
      <c r="C221" s="2" t="s">
        <v>83</v>
      </c>
      <c r="D221" s="2">
        <v>1</v>
      </c>
      <c r="E221" s="2">
        <v>1139</v>
      </c>
      <c r="F221" s="2">
        <v>189</v>
      </c>
      <c r="G221" s="2">
        <v>253994</v>
      </c>
      <c r="H221" s="2">
        <v>7</v>
      </c>
      <c r="I221" s="2" t="s">
        <v>78</v>
      </c>
      <c r="J221" s="3">
        <v>0.165935030728709</v>
      </c>
      <c r="K221" s="21">
        <v>1343.8835978836</v>
      </c>
      <c r="L221" s="21">
        <v>36284.8571428571</v>
      </c>
      <c r="M221" s="21">
        <v>162.714285714286</v>
      </c>
      <c r="N221" s="2" t="s">
        <v>80</v>
      </c>
    </row>
    <row r="222" s="2" customFormat="1" spans="1:14">
      <c r="A222" s="20">
        <v>45788</v>
      </c>
      <c r="B222" s="2" t="s">
        <v>82</v>
      </c>
      <c r="C222" s="2" t="s">
        <v>83</v>
      </c>
      <c r="D222" s="2">
        <v>1</v>
      </c>
      <c r="E222" s="2">
        <v>1057</v>
      </c>
      <c r="F222" s="2">
        <v>179</v>
      </c>
      <c r="G222" s="2">
        <v>275340</v>
      </c>
      <c r="H222" s="2">
        <v>6</v>
      </c>
      <c r="I222" s="2" t="s">
        <v>78</v>
      </c>
      <c r="J222" s="3">
        <v>0.169347209082308</v>
      </c>
      <c r="K222" s="21">
        <v>1538.21229050279</v>
      </c>
      <c r="L222" s="21">
        <v>45890</v>
      </c>
      <c r="M222" s="21">
        <v>176.166666666667</v>
      </c>
      <c r="N222" s="2" t="s">
        <v>80</v>
      </c>
    </row>
    <row r="223" s="2" customFormat="1" spans="1:14">
      <c r="A223" s="20">
        <v>45789</v>
      </c>
      <c r="B223" s="2" t="s">
        <v>82</v>
      </c>
      <c r="C223" s="2" t="s">
        <v>83</v>
      </c>
      <c r="D223" s="2">
        <v>1</v>
      </c>
      <c r="E223" s="2">
        <v>570</v>
      </c>
      <c r="F223" s="2">
        <v>103</v>
      </c>
      <c r="G223" s="2">
        <v>133517</v>
      </c>
      <c r="H223" s="2">
        <v>9</v>
      </c>
      <c r="I223" s="2" t="s">
        <v>78</v>
      </c>
      <c r="J223" s="3">
        <v>0.180701754385965</v>
      </c>
      <c r="K223" s="21">
        <v>1296.28155339806</v>
      </c>
      <c r="L223" s="21">
        <v>14835.2222222222</v>
      </c>
      <c r="M223" s="21">
        <v>63.3333333333333</v>
      </c>
      <c r="N223" s="2" t="s">
        <v>79</v>
      </c>
    </row>
    <row r="224" s="2" customFormat="1" spans="1:14">
      <c r="A224" s="20">
        <v>45790</v>
      </c>
      <c r="B224" s="2" t="s">
        <v>82</v>
      </c>
      <c r="C224" s="2" t="s">
        <v>83</v>
      </c>
      <c r="D224" s="2">
        <v>1</v>
      </c>
      <c r="E224" s="2">
        <v>869</v>
      </c>
      <c r="F224" s="2">
        <v>148</v>
      </c>
      <c r="G224" s="2">
        <v>191597</v>
      </c>
      <c r="H224" s="2">
        <v>4</v>
      </c>
      <c r="I224" s="2" t="s">
        <v>78</v>
      </c>
      <c r="J224" s="3">
        <v>0.170310701956272</v>
      </c>
      <c r="K224" s="21">
        <v>1294.57432432432</v>
      </c>
      <c r="L224" s="21">
        <v>47899.25</v>
      </c>
      <c r="M224" s="21">
        <v>217.25</v>
      </c>
      <c r="N224" s="2" t="s">
        <v>79</v>
      </c>
    </row>
    <row r="225" s="2" customFormat="1" spans="1:14">
      <c r="A225" s="20">
        <v>45791</v>
      </c>
      <c r="B225" s="2" t="s">
        <v>82</v>
      </c>
      <c r="C225" s="2" t="s">
        <v>83</v>
      </c>
      <c r="D225" s="2">
        <v>1</v>
      </c>
      <c r="E225" s="2">
        <v>801</v>
      </c>
      <c r="F225" s="2">
        <v>133</v>
      </c>
      <c r="G225" s="2">
        <v>157554</v>
      </c>
      <c r="H225" s="2">
        <v>8</v>
      </c>
      <c r="I225" s="2" t="s">
        <v>78</v>
      </c>
      <c r="J225" s="3">
        <v>0.166042446941323</v>
      </c>
      <c r="K225" s="21">
        <v>1184.61654135338</v>
      </c>
      <c r="L225" s="21">
        <v>19694.25</v>
      </c>
      <c r="M225" s="21">
        <v>100.125</v>
      </c>
      <c r="N225" s="2" t="s">
        <v>79</v>
      </c>
    </row>
    <row r="226" s="2" customFormat="1" spans="1:14">
      <c r="A226" s="20">
        <v>45792</v>
      </c>
      <c r="B226" s="2" t="s">
        <v>82</v>
      </c>
      <c r="C226" s="2" t="s">
        <v>83</v>
      </c>
      <c r="D226" s="2">
        <v>1</v>
      </c>
      <c r="E226" s="2">
        <v>632</v>
      </c>
      <c r="F226" s="2">
        <v>115</v>
      </c>
      <c r="G226" s="2">
        <v>190092</v>
      </c>
      <c r="H226" s="2">
        <v>8</v>
      </c>
      <c r="I226" s="2" t="s">
        <v>78</v>
      </c>
      <c r="J226" s="3">
        <v>0.181962025316456</v>
      </c>
      <c r="K226" s="21">
        <v>1652.97391304348</v>
      </c>
      <c r="L226" s="21">
        <v>23761.5</v>
      </c>
      <c r="M226" s="21">
        <v>79</v>
      </c>
      <c r="N226" s="2" t="s">
        <v>79</v>
      </c>
    </row>
    <row r="227" s="2" customFormat="1" spans="1:14">
      <c r="A227" s="20">
        <v>45793</v>
      </c>
      <c r="B227" s="2" t="s">
        <v>82</v>
      </c>
      <c r="C227" s="2" t="s">
        <v>83</v>
      </c>
      <c r="D227" s="2">
        <v>1</v>
      </c>
      <c r="E227" s="2">
        <v>806</v>
      </c>
      <c r="F227" s="2">
        <v>123</v>
      </c>
      <c r="G227" s="2">
        <v>136110</v>
      </c>
      <c r="H227" s="2">
        <v>7</v>
      </c>
      <c r="I227" s="2" t="s">
        <v>78</v>
      </c>
      <c r="J227" s="3">
        <v>0.152605459057072</v>
      </c>
      <c r="K227" s="21">
        <v>1106.58536585366</v>
      </c>
      <c r="L227" s="21">
        <v>19444.2857142857</v>
      </c>
      <c r="M227" s="21">
        <v>115.142857142857</v>
      </c>
      <c r="N227" s="2" t="s">
        <v>79</v>
      </c>
    </row>
    <row r="228" s="2" customFormat="1" spans="1:14">
      <c r="A228" s="20">
        <v>45794</v>
      </c>
      <c r="B228" s="2" t="s">
        <v>82</v>
      </c>
      <c r="C228" s="2" t="s">
        <v>83</v>
      </c>
      <c r="D228" s="2">
        <v>1</v>
      </c>
      <c r="E228" s="2">
        <v>1145</v>
      </c>
      <c r="F228" s="2">
        <v>217</v>
      </c>
      <c r="G228" s="2">
        <v>242901</v>
      </c>
      <c r="H228" s="2">
        <v>9</v>
      </c>
      <c r="I228" s="2" t="s">
        <v>78</v>
      </c>
      <c r="J228" s="3">
        <v>0.189519650655022</v>
      </c>
      <c r="K228" s="21">
        <v>1119.35944700461</v>
      </c>
      <c r="L228" s="21">
        <v>26989</v>
      </c>
      <c r="M228" s="21">
        <v>127.222222222222</v>
      </c>
      <c r="N228" s="2" t="s">
        <v>80</v>
      </c>
    </row>
    <row r="229" s="2" customFormat="1" spans="1:14">
      <c r="A229" s="20">
        <v>45795</v>
      </c>
      <c r="B229" s="2" t="s">
        <v>82</v>
      </c>
      <c r="C229" s="2" t="s">
        <v>83</v>
      </c>
      <c r="D229" s="2">
        <v>1</v>
      </c>
      <c r="E229" s="2">
        <v>811</v>
      </c>
      <c r="F229" s="2">
        <v>139</v>
      </c>
      <c r="G229" s="2">
        <v>178525</v>
      </c>
      <c r="H229" s="2">
        <v>7</v>
      </c>
      <c r="I229" s="2" t="s">
        <v>81</v>
      </c>
      <c r="J229" s="3">
        <v>0.171393341553638</v>
      </c>
      <c r="K229" s="21">
        <v>1284.35251798561</v>
      </c>
      <c r="L229" s="21">
        <v>25503.5714285714</v>
      </c>
      <c r="M229" s="21">
        <v>115.857142857143</v>
      </c>
      <c r="N229" s="2" t="s">
        <v>80</v>
      </c>
    </row>
    <row r="230" s="2" customFormat="1" spans="1:14">
      <c r="A230" s="20">
        <v>45796</v>
      </c>
      <c r="B230" s="2" t="s">
        <v>82</v>
      </c>
      <c r="C230" s="2" t="s">
        <v>83</v>
      </c>
      <c r="D230" s="2">
        <v>1</v>
      </c>
      <c r="E230" s="2">
        <v>765</v>
      </c>
      <c r="F230" s="2">
        <v>130</v>
      </c>
      <c r="G230" s="2">
        <v>220907</v>
      </c>
      <c r="H230" s="2">
        <v>8</v>
      </c>
      <c r="I230" s="2" t="s">
        <v>78</v>
      </c>
      <c r="J230" s="3">
        <v>0.169934640522876</v>
      </c>
      <c r="K230" s="21">
        <v>1699.28461538462</v>
      </c>
      <c r="L230" s="21">
        <v>27613.375</v>
      </c>
      <c r="M230" s="21">
        <v>95.625</v>
      </c>
      <c r="N230" s="2" t="s">
        <v>79</v>
      </c>
    </row>
    <row r="231" s="2" customFormat="1" spans="1:14">
      <c r="A231" s="20">
        <v>45797</v>
      </c>
      <c r="B231" s="2" t="s">
        <v>82</v>
      </c>
      <c r="C231" s="2" t="s">
        <v>83</v>
      </c>
      <c r="D231" s="2">
        <v>1</v>
      </c>
      <c r="E231" s="2">
        <v>557</v>
      </c>
      <c r="F231" s="2">
        <v>85</v>
      </c>
      <c r="G231" s="2">
        <v>110710</v>
      </c>
      <c r="H231" s="2">
        <v>4</v>
      </c>
      <c r="I231" s="2" t="s">
        <v>78</v>
      </c>
      <c r="J231" s="3">
        <v>0.152603231597846</v>
      </c>
      <c r="K231" s="21">
        <v>1302.47058823529</v>
      </c>
      <c r="L231" s="21">
        <v>27677.5</v>
      </c>
      <c r="M231" s="21">
        <v>139.25</v>
      </c>
      <c r="N231" s="2" t="s">
        <v>79</v>
      </c>
    </row>
    <row r="232" s="2" customFormat="1" spans="1:14">
      <c r="A232" s="20">
        <v>45798</v>
      </c>
      <c r="B232" s="2" t="s">
        <v>82</v>
      </c>
      <c r="C232" s="2" t="s">
        <v>83</v>
      </c>
      <c r="D232" s="2">
        <v>1</v>
      </c>
      <c r="E232" s="2">
        <v>669</v>
      </c>
      <c r="F232" s="2">
        <v>105</v>
      </c>
      <c r="G232" s="2">
        <v>178493</v>
      </c>
      <c r="H232" s="2">
        <v>6</v>
      </c>
      <c r="I232" s="2" t="s">
        <v>81</v>
      </c>
      <c r="J232" s="3">
        <v>0.15695067264574</v>
      </c>
      <c r="K232" s="21">
        <v>1699.93333333333</v>
      </c>
      <c r="L232" s="21">
        <v>29748.8333333333</v>
      </c>
      <c r="M232" s="21">
        <v>111.5</v>
      </c>
      <c r="N232" s="2" t="s">
        <v>79</v>
      </c>
    </row>
    <row r="233" s="2" customFormat="1" spans="1:14">
      <c r="A233" s="20">
        <v>45799</v>
      </c>
      <c r="B233" s="2" t="s">
        <v>82</v>
      </c>
      <c r="C233" s="2" t="s">
        <v>83</v>
      </c>
      <c r="D233" s="2">
        <v>1</v>
      </c>
      <c r="E233" s="2">
        <v>799</v>
      </c>
      <c r="F233" s="2">
        <v>147</v>
      </c>
      <c r="G233" s="2">
        <v>163078</v>
      </c>
      <c r="H233" s="2">
        <v>8</v>
      </c>
      <c r="I233" s="2" t="s">
        <v>78</v>
      </c>
      <c r="J233" s="3">
        <v>0.183979974968711</v>
      </c>
      <c r="K233" s="21">
        <v>1109.37414965986</v>
      </c>
      <c r="L233" s="21">
        <v>20384.75</v>
      </c>
      <c r="M233" s="21">
        <v>99.875</v>
      </c>
      <c r="N233" s="2" t="s">
        <v>79</v>
      </c>
    </row>
    <row r="234" s="2" customFormat="1" spans="1:14">
      <c r="A234" s="20">
        <v>45800</v>
      </c>
      <c r="B234" s="2" t="s">
        <v>82</v>
      </c>
      <c r="C234" s="2" t="s">
        <v>83</v>
      </c>
      <c r="D234" s="2">
        <v>1</v>
      </c>
      <c r="E234" s="2">
        <v>897</v>
      </c>
      <c r="F234" s="2">
        <v>165</v>
      </c>
      <c r="G234" s="2">
        <v>259781</v>
      </c>
      <c r="H234" s="2">
        <v>9</v>
      </c>
      <c r="I234" s="2" t="s">
        <v>78</v>
      </c>
      <c r="J234" s="3">
        <v>0.183946488294314</v>
      </c>
      <c r="K234" s="21">
        <v>1574.4303030303</v>
      </c>
      <c r="L234" s="21">
        <v>28864.5555555556</v>
      </c>
      <c r="M234" s="21">
        <v>99.6666666666667</v>
      </c>
      <c r="N234" s="2" t="s">
        <v>79</v>
      </c>
    </row>
    <row r="235" s="2" customFormat="1" spans="1:14">
      <c r="A235" s="20">
        <v>45801</v>
      </c>
      <c r="B235" s="2" t="s">
        <v>82</v>
      </c>
      <c r="C235" s="2" t="s">
        <v>83</v>
      </c>
      <c r="D235" s="2">
        <v>1</v>
      </c>
      <c r="E235" s="2">
        <v>1018</v>
      </c>
      <c r="F235" s="2">
        <v>147</v>
      </c>
      <c r="G235" s="2">
        <v>197705</v>
      </c>
      <c r="H235" s="2">
        <v>4</v>
      </c>
      <c r="I235" s="2" t="s">
        <v>78</v>
      </c>
      <c r="J235" s="3">
        <v>0.144400785854617</v>
      </c>
      <c r="K235" s="21">
        <v>1344.93197278912</v>
      </c>
      <c r="L235" s="21">
        <v>49426.25</v>
      </c>
      <c r="M235" s="21">
        <v>254.5</v>
      </c>
      <c r="N235" s="2" t="s">
        <v>80</v>
      </c>
    </row>
    <row r="236" s="2" customFormat="1" spans="1:14">
      <c r="A236" s="20">
        <v>45802</v>
      </c>
      <c r="B236" s="2" t="s">
        <v>82</v>
      </c>
      <c r="C236" s="2" t="s">
        <v>83</v>
      </c>
      <c r="D236" s="2">
        <v>1</v>
      </c>
      <c r="E236" s="2">
        <v>814</v>
      </c>
      <c r="F236" s="2">
        <v>137</v>
      </c>
      <c r="G236" s="2">
        <v>165596</v>
      </c>
      <c r="H236" s="2">
        <v>8</v>
      </c>
      <c r="I236" s="2" t="s">
        <v>78</v>
      </c>
      <c r="J236" s="3">
        <v>0.168304668304668</v>
      </c>
      <c r="K236" s="21">
        <v>1208.7299270073</v>
      </c>
      <c r="L236" s="21">
        <v>20699.5</v>
      </c>
      <c r="M236" s="21">
        <v>101.75</v>
      </c>
      <c r="N236" s="2" t="s">
        <v>80</v>
      </c>
    </row>
    <row r="237" s="2" customFormat="1" spans="1:14">
      <c r="A237" s="20">
        <v>45803</v>
      </c>
      <c r="B237" s="2" t="s">
        <v>82</v>
      </c>
      <c r="C237" s="2" t="s">
        <v>83</v>
      </c>
      <c r="D237" s="2">
        <v>1</v>
      </c>
      <c r="E237" s="2">
        <v>867</v>
      </c>
      <c r="F237" s="2">
        <v>132</v>
      </c>
      <c r="G237" s="2">
        <v>198115</v>
      </c>
      <c r="H237" s="2">
        <v>5</v>
      </c>
      <c r="I237" s="2" t="s">
        <v>78</v>
      </c>
      <c r="J237" s="3">
        <v>0.152249134948097</v>
      </c>
      <c r="K237" s="21">
        <v>1500.87121212121</v>
      </c>
      <c r="L237" s="21">
        <v>39623</v>
      </c>
      <c r="M237" s="21">
        <v>173.4</v>
      </c>
      <c r="N237" s="2" t="s">
        <v>79</v>
      </c>
    </row>
    <row r="238" s="2" customFormat="1" spans="1:14">
      <c r="A238" s="20">
        <v>45804</v>
      </c>
      <c r="B238" s="2" t="s">
        <v>82</v>
      </c>
      <c r="C238" s="2" t="s">
        <v>83</v>
      </c>
      <c r="D238" s="2">
        <v>1</v>
      </c>
      <c r="E238" s="2">
        <v>731</v>
      </c>
      <c r="F238" s="2">
        <v>123</v>
      </c>
      <c r="G238" s="2">
        <v>171395</v>
      </c>
      <c r="H238" s="2">
        <v>9</v>
      </c>
      <c r="I238" s="2" t="s">
        <v>78</v>
      </c>
      <c r="J238" s="3">
        <v>0.168262653898769</v>
      </c>
      <c r="K238" s="21">
        <v>1393.45528455285</v>
      </c>
      <c r="L238" s="21">
        <v>19043.8888888889</v>
      </c>
      <c r="M238" s="21">
        <v>81.2222222222222</v>
      </c>
      <c r="N238" s="2" t="s">
        <v>79</v>
      </c>
    </row>
    <row r="239" s="2" customFormat="1" spans="1:14">
      <c r="A239" s="20">
        <v>45805</v>
      </c>
      <c r="B239" s="2" t="s">
        <v>82</v>
      </c>
      <c r="C239" s="2" t="s">
        <v>83</v>
      </c>
      <c r="D239" s="2">
        <v>1</v>
      </c>
      <c r="E239" s="2">
        <v>681</v>
      </c>
      <c r="F239" s="2">
        <v>107</v>
      </c>
      <c r="G239" s="2">
        <v>139828</v>
      </c>
      <c r="H239" s="2">
        <v>4</v>
      </c>
      <c r="I239" s="2" t="s">
        <v>78</v>
      </c>
      <c r="J239" s="3">
        <v>0.15712187958884</v>
      </c>
      <c r="K239" s="21">
        <v>1306.80373831776</v>
      </c>
      <c r="L239" s="21">
        <v>34957</v>
      </c>
      <c r="M239" s="21">
        <v>170.25</v>
      </c>
      <c r="N239" s="2" t="s">
        <v>79</v>
      </c>
    </row>
    <row r="240" s="2" customFormat="1" spans="1:14">
      <c r="A240" s="20">
        <v>45806</v>
      </c>
      <c r="B240" s="2" t="s">
        <v>82</v>
      </c>
      <c r="C240" s="2" t="s">
        <v>83</v>
      </c>
      <c r="D240" s="2">
        <v>1</v>
      </c>
      <c r="E240" s="2">
        <v>677</v>
      </c>
      <c r="F240" s="2">
        <v>103</v>
      </c>
      <c r="G240" s="2">
        <v>157106</v>
      </c>
      <c r="H240" s="2">
        <v>7</v>
      </c>
      <c r="I240" s="2" t="s">
        <v>78</v>
      </c>
      <c r="J240" s="3">
        <v>0.152141802067947</v>
      </c>
      <c r="K240" s="21">
        <v>1525.30097087379</v>
      </c>
      <c r="L240" s="21">
        <v>22443.7142857143</v>
      </c>
      <c r="M240" s="21">
        <v>96.7142857142857</v>
      </c>
      <c r="N240" s="2" t="s">
        <v>79</v>
      </c>
    </row>
    <row r="241" s="2" customFormat="1" spans="1:14">
      <c r="A241" s="20">
        <v>45807</v>
      </c>
      <c r="B241" s="2" t="s">
        <v>82</v>
      </c>
      <c r="C241" s="2" t="s">
        <v>83</v>
      </c>
      <c r="D241" s="2">
        <v>1</v>
      </c>
      <c r="E241" s="2">
        <v>648</v>
      </c>
      <c r="F241" s="2">
        <v>114</v>
      </c>
      <c r="G241" s="2">
        <v>157291</v>
      </c>
      <c r="H241" s="2">
        <v>7</v>
      </c>
      <c r="I241" s="2" t="s">
        <v>78</v>
      </c>
      <c r="J241" s="3">
        <v>0.175925925925926</v>
      </c>
      <c r="K241" s="21">
        <v>1379.74561403509</v>
      </c>
      <c r="L241" s="21">
        <v>22470.1428571429</v>
      </c>
      <c r="M241" s="21">
        <v>92.5714285714286</v>
      </c>
      <c r="N241" s="2" t="s">
        <v>79</v>
      </c>
    </row>
    <row r="242" s="2" customFormat="1" spans="1:14">
      <c r="A242" s="20">
        <v>45808</v>
      </c>
      <c r="B242" s="2" t="s">
        <v>82</v>
      </c>
      <c r="C242" s="2" t="s">
        <v>83</v>
      </c>
      <c r="D242" s="2">
        <v>1</v>
      </c>
      <c r="E242" s="2">
        <v>1023</v>
      </c>
      <c r="F242" s="2">
        <v>155</v>
      </c>
      <c r="G242" s="2">
        <v>211752</v>
      </c>
      <c r="H242" s="2">
        <v>6</v>
      </c>
      <c r="I242" s="2" t="s">
        <v>81</v>
      </c>
      <c r="J242" s="3">
        <v>0.151515151515151</v>
      </c>
      <c r="K242" s="21">
        <v>1366.14193548387</v>
      </c>
      <c r="L242" s="21">
        <v>35292</v>
      </c>
      <c r="M242" s="21">
        <v>170.5</v>
      </c>
      <c r="N242" s="2" t="s">
        <v>80</v>
      </c>
    </row>
    <row r="243" s="2" customFormat="1" spans="1:14">
      <c r="A243" s="20">
        <v>45809</v>
      </c>
      <c r="B243" s="2" t="s">
        <v>82</v>
      </c>
      <c r="C243" s="2" t="s">
        <v>83</v>
      </c>
      <c r="D243" s="2">
        <v>1</v>
      </c>
      <c r="E243" s="2">
        <v>827</v>
      </c>
      <c r="F243" s="2">
        <v>131</v>
      </c>
      <c r="G243" s="2">
        <v>155746</v>
      </c>
      <c r="H243" s="2">
        <v>9</v>
      </c>
      <c r="I243" s="2" t="s">
        <v>78</v>
      </c>
      <c r="J243" s="3">
        <v>0.158403869407497</v>
      </c>
      <c r="K243" s="21">
        <v>1188.90076335878</v>
      </c>
      <c r="L243" s="21">
        <v>17305.1111111111</v>
      </c>
      <c r="M243" s="21">
        <v>91.8888888888889</v>
      </c>
      <c r="N243" s="2" t="s">
        <v>80</v>
      </c>
    </row>
    <row r="244" s="2" customFormat="1" spans="1:14">
      <c r="A244" s="20">
        <v>45810</v>
      </c>
      <c r="B244" s="2" t="s">
        <v>82</v>
      </c>
      <c r="C244" s="2" t="s">
        <v>83</v>
      </c>
      <c r="D244" s="2">
        <v>1</v>
      </c>
      <c r="E244" s="2">
        <v>694</v>
      </c>
      <c r="F244" s="2">
        <v>115</v>
      </c>
      <c r="G244" s="2">
        <v>193058</v>
      </c>
      <c r="H244" s="2">
        <v>5</v>
      </c>
      <c r="I244" s="2" t="s">
        <v>81</v>
      </c>
      <c r="J244" s="3">
        <v>0.165706051873199</v>
      </c>
      <c r="K244" s="21">
        <v>1678.7652173913</v>
      </c>
      <c r="L244" s="21">
        <v>38611.6</v>
      </c>
      <c r="M244" s="21">
        <v>138.8</v>
      </c>
      <c r="N244" s="2" t="s">
        <v>79</v>
      </c>
    </row>
    <row r="245" s="2" customFormat="1" spans="1:14">
      <c r="A245" s="20">
        <v>45811</v>
      </c>
      <c r="B245" s="2" t="s">
        <v>82</v>
      </c>
      <c r="C245" s="2" t="s">
        <v>83</v>
      </c>
      <c r="D245" s="2">
        <v>1</v>
      </c>
      <c r="E245" s="2">
        <v>861</v>
      </c>
      <c r="F245" s="2">
        <v>154</v>
      </c>
      <c r="G245" s="2">
        <v>202069</v>
      </c>
      <c r="H245" s="2">
        <v>8</v>
      </c>
      <c r="I245" s="2" t="s">
        <v>78</v>
      </c>
      <c r="J245" s="3">
        <v>0.178861788617886</v>
      </c>
      <c r="K245" s="21">
        <v>1312.13636363636</v>
      </c>
      <c r="L245" s="21">
        <v>25258.625</v>
      </c>
      <c r="M245" s="21">
        <v>107.625</v>
      </c>
      <c r="N245" s="2" t="s">
        <v>79</v>
      </c>
    </row>
    <row r="246" s="2" customFormat="1" spans="1:14">
      <c r="A246" s="20">
        <v>45812</v>
      </c>
      <c r="B246" s="2" t="s">
        <v>82</v>
      </c>
      <c r="C246" s="2" t="s">
        <v>83</v>
      </c>
      <c r="D246" s="2">
        <v>1</v>
      </c>
      <c r="E246" s="2">
        <v>639</v>
      </c>
      <c r="F246" s="2">
        <v>105</v>
      </c>
      <c r="G246" s="2">
        <v>132134</v>
      </c>
      <c r="H246" s="2">
        <v>5</v>
      </c>
      <c r="I246" s="2" t="s">
        <v>78</v>
      </c>
      <c r="J246" s="3">
        <v>0.164319248826291</v>
      </c>
      <c r="K246" s="21">
        <v>1258.41904761905</v>
      </c>
      <c r="L246" s="21">
        <v>26426.8</v>
      </c>
      <c r="M246" s="21">
        <v>127.8</v>
      </c>
      <c r="N246" s="2" t="s">
        <v>79</v>
      </c>
    </row>
    <row r="247" s="2" customFormat="1" spans="1:14">
      <c r="A247" s="20">
        <v>45813</v>
      </c>
      <c r="B247" s="2" t="s">
        <v>82</v>
      </c>
      <c r="C247" s="2" t="s">
        <v>83</v>
      </c>
      <c r="D247" s="2">
        <v>1</v>
      </c>
      <c r="E247" s="2">
        <v>788</v>
      </c>
      <c r="F247" s="2">
        <v>120</v>
      </c>
      <c r="G247" s="2">
        <v>140470</v>
      </c>
      <c r="H247" s="2">
        <v>7</v>
      </c>
      <c r="I247" s="2" t="s">
        <v>81</v>
      </c>
      <c r="J247" s="3">
        <v>0.152284263959391</v>
      </c>
      <c r="K247" s="21">
        <v>1170.58333333333</v>
      </c>
      <c r="L247" s="21">
        <v>20067.1428571429</v>
      </c>
      <c r="M247" s="21">
        <v>112.571428571429</v>
      </c>
      <c r="N247" s="2" t="s">
        <v>79</v>
      </c>
    </row>
    <row r="248" s="2" customFormat="1" spans="1:14">
      <c r="A248" s="20">
        <v>45814</v>
      </c>
      <c r="B248" s="2" t="s">
        <v>82</v>
      </c>
      <c r="C248" s="2" t="s">
        <v>83</v>
      </c>
      <c r="D248" s="2">
        <v>1</v>
      </c>
      <c r="E248" s="2">
        <v>600</v>
      </c>
      <c r="F248" s="2">
        <v>100</v>
      </c>
      <c r="G248" s="2">
        <v>159302</v>
      </c>
      <c r="H248" s="2">
        <v>4</v>
      </c>
      <c r="I248" s="2" t="s">
        <v>78</v>
      </c>
      <c r="J248" s="3">
        <v>0.166666666666667</v>
      </c>
      <c r="K248" s="21">
        <v>1593.02</v>
      </c>
      <c r="L248" s="21">
        <v>39825.5</v>
      </c>
      <c r="M248" s="21">
        <v>150</v>
      </c>
      <c r="N248" s="2" t="s">
        <v>79</v>
      </c>
    </row>
    <row r="249" s="2" customFormat="1" spans="1:14">
      <c r="A249" s="20">
        <v>45815</v>
      </c>
      <c r="B249" s="2" t="s">
        <v>82</v>
      </c>
      <c r="C249" s="2" t="s">
        <v>83</v>
      </c>
      <c r="D249" s="2">
        <v>1</v>
      </c>
      <c r="E249" s="2">
        <v>961</v>
      </c>
      <c r="F249" s="2">
        <v>145</v>
      </c>
      <c r="G249" s="2">
        <v>221009</v>
      </c>
      <c r="H249" s="2">
        <v>7</v>
      </c>
      <c r="I249" s="2" t="s">
        <v>78</v>
      </c>
      <c r="J249" s="3">
        <v>0.150884495317378</v>
      </c>
      <c r="K249" s="21">
        <v>1524.2</v>
      </c>
      <c r="L249" s="21">
        <v>31572.7142857143</v>
      </c>
      <c r="M249" s="21">
        <v>137.285714285714</v>
      </c>
      <c r="N249" s="2" t="s">
        <v>80</v>
      </c>
    </row>
    <row r="250" s="2" customFormat="1" spans="1:14">
      <c r="A250" s="20">
        <v>45816</v>
      </c>
      <c r="B250" s="2" t="s">
        <v>82</v>
      </c>
      <c r="C250" s="2" t="s">
        <v>83</v>
      </c>
      <c r="D250" s="2">
        <v>1</v>
      </c>
      <c r="E250" s="2">
        <v>1206</v>
      </c>
      <c r="F250" s="2">
        <v>200</v>
      </c>
      <c r="G250" s="2">
        <v>322528</v>
      </c>
      <c r="H250" s="2">
        <v>5</v>
      </c>
      <c r="I250" s="2" t="s">
        <v>81</v>
      </c>
      <c r="J250" s="3">
        <v>0.165837479270315</v>
      </c>
      <c r="K250" s="21">
        <v>1612.64</v>
      </c>
      <c r="L250" s="21">
        <v>64505.6</v>
      </c>
      <c r="M250" s="21">
        <v>241.2</v>
      </c>
      <c r="N250" s="2" t="s">
        <v>80</v>
      </c>
    </row>
    <row r="251" s="2" customFormat="1" spans="1:14">
      <c r="A251" s="20">
        <v>45817</v>
      </c>
      <c r="B251" s="2" t="s">
        <v>82</v>
      </c>
      <c r="C251" s="2" t="s">
        <v>83</v>
      </c>
      <c r="D251" s="2">
        <v>1</v>
      </c>
      <c r="E251" s="2">
        <v>881</v>
      </c>
      <c r="F251" s="2">
        <v>134</v>
      </c>
      <c r="G251" s="2">
        <v>211195</v>
      </c>
      <c r="H251" s="2">
        <v>5</v>
      </c>
      <c r="I251" s="2" t="s">
        <v>78</v>
      </c>
      <c r="J251" s="3">
        <v>0.152099886492622</v>
      </c>
      <c r="K251" s="21">
        <v>1576.08208955224</v>
      </c>
      <c r="L251" s="21">
        <v>42239</v>
      </c>
      <c r="M251" s="21">
        <v>176.2</v>
      </c>
      <c r="N251" s="2" t="s">
        <v>79</v>
      </c>
    </row>
    <row r="252" s="2" customFormat="1" spans="1:14">
      <c r="A252" s="20">
        <v>45818</v>
      </c>
      <c r="B252" s="2" t="s">
        <v>82</v>
      </c>
      <c r="C252" s="2" t="s">
        <v>83</v>
      </c>
      <c r="D252" s="2">
        <v>1</v>
      </c>
      <c r="E252" s="2">
        <v>709</v>
      </c>
      <c r="F252" s="2">
        <v>110</v>
      </c>
      <c r="G252" s="2">
        <v>165456</v>
      </c>
      <c r="H252" s="2">
        <v>7</v>
      </c>
      <c r="I252" s="2" t="s">
        <v>78</v>
      </c>
      <c r="J252" s="3">
        <v>0.155148095909732</v>
      </c>
      <c r="K252" s="21">
        <v>1504.14545454546</v>
      </c>
      <c r="L252" s="21">
        <v>23636.5714285714</v>
      </c>
      <c r="M252" s="21">
        <v>101.285714285714</v>
      </c>
      <c r="N252" s="2" t="s">
        <v>79</v>
      </c>
    </row>
    <row r="253" s="2" customFormat="1" spans="1:14">
      <c r="A253" s="20">
        <v>45819</v>
      </c>
      <c r="B253" s="2" t="s">
        <v>82</v>
      </c>
      <c r="C253" s="2" t="s">
        <v>83</v>
      </c>
      <c r="D253" s="2">
        <v>1</v>
      </c>
      <c r="E253" s="2">
        <v>480</v>
      </c>
      <c r="F253" s="2">
        <v>82</v>
      </c>
      <c r="G253" s="2">
        <v>123681</v>
      </c>
      <c r="H253" s="2">
        <v>6</v>
      </c>
      <c r="I253" s="2" t="s">
        <v>78</v>
      </c>
      <c r="J253" s="3">
        <v>0.170833333333333</v>
      </c>
      <c r="K253" s="21">
        <v>1508.30487804878</v>
      </c>
      <c r="L253" s="21">
        <v>20613.5</v>
      </c>
      <c r="M253" s="21">
        <v>80</v>
      </c>
      <c r="N253" s="2" t="s">
        <v>79</v>
      </c>
    </row>
    <row r="254" s="2" customFormat="1" spans="1:14">
      <c r="A254" s="20">
        <v>45820</v>
      </c>
      <c r="B254" s="2" t="s">
        <v>82</v>
      </c>
      <c r="C254" s="2" t="s">
        <v>83</v>
      </c>
      <c r="D254" s="2">
        <v>1</v>
      </c>
      <c r="E254" s="2">
        <v>728</v>
      </c>
      <c r="F254" s="2">
        <v>109</v>
      </c>
      <c r="G254" s="2">
        <v>166412</v>
      </c>
      <c r="H254" s="2">
        <v>5</v>
      </c>
      <c r="I254" s="2" t="s">
        <v>78</v>
      </c>
      <c r="J254" s="3">
        <v>0.149725274725275</v>
      </c>
      <c r="K254" s="21">
        <v>1526.71559633028</v>
      </c>
      <c r="L254" s="21">
        <v>33282.4</v>
      </c>
      <c r="M254" s="21">
        <v>145.6</v>
      </c>
      <c r="N254" s="2" t="s">
        <v>79</v>
      </c>
    </row>
    <row r="255" s="2" customFormat="1" spans="1:14">
      <c r="A255" s="20">
        <v>45821</v>
      </c>
      <c r="B255" s="2" t="s">
        <v>82</v>
      </c>
      <c r="C255" s="2" t="s">
        <v>83</v>
      </c>
      <c r="D255" s="2">
        <v>1</v>
      </c>
      <c r="E255" s="2">
        <v>811</v>
      </c>
      <c r="F255" s="2">
        <v>134</v>
      </c>
      <c r="G255" s="2">
        <v>196538</v>
      </c>
      <c r="H255" s="2">
        <v>4</v>
      </c>
      <c r="I255" s="2" t="s">
        <v>78</v>
      </c>
      <c r="J255" s="3">
        <v>0.165228113440197</v>
      </c>
      <c r="K255" s="21">
        <v>1466.70149253731</v>
      </c>
      <c r="L255" s="21">
        <v>49134.5</v>
      </c>
      <c r="M255" s="21">
        <v>202.75</v>
      </c>
      <c r="N255" s="2" t="s">
        <v>79</v>
      </c>
    </row>
    <row r="256" s="2" customFormat="1" spans="1:14">
      <c r="A256" s="20">
        <v>45822</v>
      </c>
      <c r="B256" s="2" t="s">
        <v>82</v>
      </c>
      <c r="C256" s="2" t="s">
        <v>83</v>
      </c>
      <c r="D256" s="2">
        <v>1</v>
      </c>
      <c r="E256" s="2">
        <v>1137</v>
      </c>
      <c r="F256" s="2">
        <v>165</v>
      </c>
      <c r="G256" s="2">
        <v>226306</v>
      </c>
      <c r="H256" s="2">
        <v>5</v>
      </c>
      <c r="I256" s="2" t="s">
        <v>78</v>
      </c>
      <c r="J256" s="3">
        <v>0.145118733509235</v>
      </c>
      <c r="K256" s="21">
        <v>1371.55151515152</v>
      </c>
      <c r="L256" s="21">
        <v>45261.2</v>
      </c>
      <c r="M256" s="21">
        <v>227.4</v>
      </c>
      <c r="N256" s="2" t="s">
        <v>80</v>
      </c>
    </row>
    <row r="257" s="2" customFormat="1" spans="1:14">
      <c r="A257" s="20">
        <v>45823</v>
      </c>
      <c r="B257" s="2" t="s">
        <v>82</v>
      </c>
      <c r="C257" s="2" t="s">
        <v>83</v>
      </c>
      <c r="D257" s="2">
        <v>1</v>
      </c>
      <c r="E257" s="2">
        <v>992</v>
      </c>
      <c r="F257" s="2">
        <v>160</v>
      </c>
      <c r="G257" s="2">
        <v>236499</v>
      </c>
      <c r="H257" s="2">
        <v>6</v>
      </c>
      <c r="I257" s="2" t="s">
        <v>78</v>
      </c>
      <c r="J257" s="3">
        <v>0.161290322580645</v>
      </c>
      <c r="K257" s="21">
        <v>1478.11875</v>
      </c>
      <c r="L257" s="21">
        <v>39416.5</v>
      </c>
      <c r="M257" s="21">
        <v>165.333333333333</v>
      </c>
      <c r="N257" s="2" t="s">
        <v>80</v>
      </c>
    </row>
    <row r="258" s="2" customFormat="1" spans="1:14">
      <c r="A258" s="20">
        <v>45824</v>
      </c>
      <c r="B258" s="2" t="s">
        <v>82</v>
      </c>
      <c r="C258" s="2" t="s">
        <v>83</v>
      </c>
      <c r="D258" s="2">
        <v>1</v>
      </c>
      <c r="E258" s="2">
        <v>854</v>
      </c>
      <c r="F258" s="2">
        <v>149</v>
      </c>
      <c r="G258" s="2">
        <v>253059</v>
      </c>
      <c r="H258" s="2">
        <v>9</v>
      </c>
      <c r="I258" s="2" t="s">
        <v>78</v>
      </c>
      <c r="J258" s="3">
        <v>0.174473067915691</v>
      </c>
      <c r="K258" s="21">
        <v>1698.38255033557</v>
      </c>
      <c r="L258" s="21">
        <v>28117.6666666667</v>
      </c>
      <c r="M258" s="21">
        <v>94.8888888888889</v>
      </c>
      <c r="N258" s="2" t="s">
        <v>79</v>
      </c>
    </row>
    <row r="259" s="2" customFormat="1" spans="1:14">
      <c r="A259" s="20">
        <v>45825</v>
      </c>
      <c r="B259" s="2" t="s">
        <v>82</v>
      </c>
      <c r="C259" s="2" t="s">
        <v>83</v>
      </c>
      <c r="D259" s="2">
        <v>1</v>
      </c>
      <c r="E259" s="2">
        <v>680</v>
      </c>
      <c r="F259" s="2">
        <v>119</v>
      </c>
      <c r="G259" s="2">
        <v>194213</v>
      </c>
      <c r="H259" s="2">
        <v>6</v>
      </c>
      <c r="I259" s="2" t="s">
        <v>78</v>
      </c>
      <c r="J259" s="3">
        <v>0.175</v>
      </c>
      <c r="K259" s="21">
        <v>1632.04201680672</v>
      </c>
      <c r="L259" s="21">
        <v>32368.8333333333</v>
      </c>
      <c r="M259" s="21">
        <v>113.333333333333</v>
      </c>
      <c r="N259" s="2" t="s">
        <v>79</v>
      </c>
    </row>
    <row r="260" s="2" customFormat="1" spans="1:14">
      <c r="A260" s="20">
        <v>45826</v>
      </c>
      <c r="B260" s="2" t="s">
        <v>82</v>
      </c>
      <c r="C260" s="2" t="s">
        <v>83</v>
      </c>
      <c r="D260" s="2">
        <v>1</v>
      </c>
      <c r="E260" s="2">
        <v>754</v>
      </c>
      <c r="F260" s="2">
        <v>132</v>
      </c>
      <c r="G260" s="2">
        <v>222344</v>
      </c>
      <c r="H260" s="2">
        <v>7</v>
      </c>
      <c r="I260" s="2" t="s">
        <v>78</v>
      </c>
      <c r="J260" s="3">
        <v>0.175066312997348</v>
      </c>
      <c r="K260" s="21">
        <v>1684.42424242424</v>
      </c>
      <c r="L260" s="21">
        <v>31763.4285714286</v>
      </c>
      <c r="M260" s="21">
        <v>107.714285714286</v>
      </c>
      <c r="N260" s="2" t="s">
        <v>79</v>
      </c>
    </row>
    <row r="261" s="2" customFormat="1" spans="1:14">
      <c r="A261" s="20">
        <v>45827</v>
      </c>
      <c r="B261" s="2" t="s">
        <v>82</v>
      </c>
      <c r="C261" s="2" t="s">
        <v>83</v>
      </c>
      <c r="D261" s="2">
        <v>1</v>
      </c>
      <c r="E261" s="2">
        <v>879</v>
      </c>
      <c r="F261" s="2">
        <v>157</v>
      </c>
      <c r="G261" s="2">
        <v>232881</v>
      </c>
      <c r="H261" s="2">
        <v>7</v>
      </c>
      <c r="I261" s="2" t="s">
        <v>78</v>
      </c>
      <c r="J261" s="3">
        <v>0.178612059158134</v>
      </c>
      <c r="K261" s="21">
        <v>1483.31847133758</v>
      </c>
      <c r="L261" s="21">
        <v>33268.7142857143</v>
      </c>
      <c r="M261" s="21">
        <v>125.571428571429</v>
      </c>
      <c r="N261" s="2" t="s">
        <v>79</v>
      </c>
    </row>
    <row r="262" s="2" customFormat="1" spans="1:14">
      <c r="A262" s="20">
        <v>45828</v>
      </c>
      <c r="B262" s="2" t="s">
        <v>82</v>
      </c>
      <c r="C262" s="2" t="s">
        <v>83</v>
      </c>
      <c r="D262" s="2">
        <v>1</v>
      </c>
      <c r="E262" s="2">
        <v>712</v>
      </c>
      <c r="F262" s="2">
        <v>124</v>
      </c>
      <c r="G262" s="2">
        <v>142989</v>
      </c>
      <c r="H262" s="2">
        <v>8</v>
      </c>
      <c r="I262" s="2" t="s">
        <v>78</v>
      </c>
      <c r="J262" s="3">
        <v>0.174157303370786</v>
      </c>
      <c r="K262" s="21">
        <v>1153.13709677419</v>
      </c>
      <c r="L262" s="21">
        <v>17873.625</v>
      </c>
      <c r="M262" s="21">
        <v>89</v>
      </c>
      <c r="N262" s="2" t="s">
        <v>79</v>
      </c>
    </row>
    <row r="263" s="2" customFormat="1" spans="1:14">
      <c r="A263" s="20">
        <v>45829</v>
      </c>
      <c r="B263" s="2" t="s">
        <v>82</v>
      </c>
      <c r="C263" s="2" t="s">
        <v>83</v>
      </c>
      <c r="D263" s="2">
        <v>1</v>
      </c>
      <c r="E263" s="2">
        <v>1118</v>
      </c>
      <c r="F263" s="2">
        <v>181</v>
      </c>
      <c r="G263" s="2">
        <v>290203</v>
      </c>
      <c r="H263" s="2">
        <v>4</v>
      </c>
      <c r="I263" s="2" t="s">
        <v>78</v>
      </c>
      <c r="J263" s="3">
        <v>0.161896243291592</v>
      </c>
      <c r="K263" s="21">
        <v>1603.33149171271</v>
      </c>
      <c r="L263" s="21">
        <v>72550.75</v>
      </c>
      <c r="M263" s="21">
        <v>279.5</v>
      </c>
      <c r="N263" s="2" t="s">
        <v>80</v>
      </c>
    </row>
    <row r="264" s="2" customFormat="1" spans="1:14">
      <c r="A264" s="20">
        <v>45830</v>
      </c>
      <c r="B264" s="2" t="s">
        <v>82</v>
      </c>
      <c r="C264" s="2" t="s">
        <v>83</v>
      </c>
      <c r="D264" s="2">
        <v>1</v>
      </c>
      <c r="E264" s="2">
        <v>1260</v>
      </c>
      <c r="F264" s="2">
        <v>231</v>
      </c>
      <c r="G264" s="2">
        <v>328761</v>
      </c>
      <c r="H264" s="2">
        <v>9</v>
      </c>
      <c r="I264" s="2" t="s">
        <v>78</v>
      </c>
      <c r="J264" s="3">
        <v>0.183333333333333</v>
      </c>
      <c r="K264" s="21">
        <v>1423.20779220779</v>
      </c>
      <c r="L264" s="21">
        <v>36529</v>
      </c>
      <c r="M264" s="21">
        <v>140</v>
      </c>
      <c r="N264" s="2" t="s">
        <v>80</v>
      </c>
    </row>
    <row r="265" s="2" customFormat="1" spans="1:14">
      <c r="A265" s="20">
        <v>45831</v>
      </c>
      <c r="B265" s="2" t="s">
        <v>82</v>
      </c>
      <c r="C265" s="2" t="s">
        <v>83</v>
      </c>
      <c r="D265" s="2">
        <v>1</v>
      </c>
      <c r="E265" s="2">
        <v>779</v>
      </c>
      <c r="F265" s="2">
        <v>126</v>
      </c>
      <c r="G265" s="2">
        <v>185014</v>
      </c>
      <c r="H265" s="2">
        <v>8</v>
      </c>
      <c r="I265" s="2" t="s">
        <v>78</v>
      </c>
      <c r="J265" s="3">
        <v>0.161745827984596</v>
      </c>
      <c r="K265" s="21">
        <v>1468.36507936508</v>
      </c>
      <c r="L265" s="21">
        <v>23126.75</v>
      </c>
      <c r="M265" s="21">
        <v>97.375</v>
      </c>
      <c r="N265" s="2" t="s">
        <v>79</v>
      </c>
    </row>
    <row r="266" s="2" customFormat="1" spans="1:14">
      <c r="A266" s="20">
        <v>45832</v>
      </c>
      <c r="B266" s="2" t="s">
        <v>82</v>
      </c>
      <c r="C266" s="2" t="s">
        <v>83</v>
      </c>
      <c r="D266" s="2">
        <v>1</v>
      </c>
      <c r="E266" s="2">
        <v>586</v>
      </c>
      <c r="F266" s="2">
        <v>105</v>
      </c>
      <c r="G266" s="2">
        <v>156394</v>
      </c>
      <c r="H266" s="2">
        <v>8</v>
      </c>
      <c r="I266" s="2" t="s">
        <v>78</v>
      </c>
      <c r="J266" s="3">
        <v>0.179180887372014</v>
      </c>
      <c r="K266" s="21">
        <v>1489.46666666667</v>
      </c>
      <c r="L266" s="21">
        <v>19549.25</v>
      </c>
      <c r="M266" s="21">
        <v>73.25</v>
      </c>
      <c r="N266" s="2" t="s">
        <v>79</v>
      </c>
    </row>
    <row r="267" s="2" customFormat="1" spans="1:14">
      <c r="A267" s="20">
        <v>45833</v>
      </c>
      <c r="B267" s="2" t="s">
        <v>82</v>
      </c>
      <c r="C267" s="2" t="s">
        <v>83</v>
      </c>
      <c r="D267" s="2">
        <v>1</v>
      </c>
      <c r="E267" s="2">
        <v>690</v>
      </c>
      <c r="F267" s="2">
        <v>105</v>
      </c>
      <c r="G267" s="2">
        <v>152614</v>
      </c>
      <c r="H267" s="2">
        <v>4</v>
      </c>
      <c r="I267" s="2" t="s">
        <v>78</v>
      </c>
      <c r="J267" s="3">
        <v>0.152173913043478</v>
      </c>
      <c r="K267" s="21">
        <v>1453.46666666667</v>
      </c>
      <c r="L267" s="21">
        <v>38153.5</v>
      </c>
      <c r="M267" s="21">
        <v>172.5</v>
      </c>
      <c r="N267" s="2" t="s">
        <v>79</v>
      </c>
    </row>
    <row r="268" s="2" customFormat="1" spans="1:14">
      <c r="A268" s="20">
        <v>45834</v>
      </c>
      <c r="B268" s="2" t="s">
        <v>82</v>
      </c>
      <c r="C268" s="2" t="s">
        <v>83</v>
      </c>
      <c r="D268" s="2">
        <v>1</v>
      </c>
      <c r="E268" s="2">
        <v>674</v>
      </c>
      <c r="F268" s="2">
        <v>108</v>
      </c>
      <c r="G268" s="2">
        <v>139065</v>
      </c>
      <c r="H268" s="2">
        <v>7</v>
      </c>
      <c r="I268" s="2" t="s">
        <v>78</v>
      </c>
      <c r="J268" s="3">
        <v>0.160237388724036</v>
      </c>
      <c r="K268" s="21">
        <v>1287.63888888889</v>
      </c>
      <c r="L268" s="21">
        <v>19866.4285714286</v>
      </c>
      <c r="M268" s="21">
        <v>96.2857142857143</v>
      </c>
      <c r="N268" s="2" t="s">
        <v>79</v>
      </c>
    </row>
    <row r="269" s="2" customFormat="1" spans="1:14">
      <c r="A269" s="20">
        <v>45835</v>
      </c>
      <c r="B269" s="2" t="s">
        <v>82</v>
      </c>
      <c r="C269" s="2" t="s">
        <v>83</v>
      </c>
      <c r="D269" s="2">
        <v>1</v>
      </c>
      <c r="E269" s="2">
        <v>805</v>
      </c>
      <c r="F269" s="2">
        <v>147</v>
      </c>
      <c r="G269" s="2">
        <v>207087</v>
      </c>
      <c r="H269" s="2">
        <v>7</v>
      </c>
      <c r="I269" s="2" t="s">
        <v>78</v>
      </c>
      <c r="J269" s="3">
        <v>0.182608695652174</v>
      </c>
      <c r="K269" s="21">
        <v>1408.75510204082</v>
      </c>
      <c r="L269" s="21">
        <v>29583.8571428571</v>
      </c>
      <c r="M269" s="21">
        <v>115</v>
      </c>
      <c r="N269" s="2" t="s">
        <v>79</v>
      </c>
    </row>
    <row r="270" s="2" customFormat="1" spans="1:14">
      <c r="A270" s="20">
        <v>45836</v>
      </c>
      <c r="B270" s="2" t="s">
        <v>82</v>
      </c>
      <c r="C270" s="2" t="s">
        <v>83</v>
      </c>
      <c r="D270" s="2">
        <v>1</v>
      </c>
      <c r="E270" s="2">
        <v>1025</v>
      </c>
      <c r="F270" s="2">
        <v>165</v>
      </c>
      <c r="G270" s="2">
        <v>219428</v>
      </c>
      <c r="H270" s="2">
        <v>9</v>
      </c>
      <c r="I270" s="2" t="s">
        <v>81</v>
      </c>
      <c r="J270" s="3">
        <v>0.160975609756098</v>
      </c>
      <c r="K270" s="21">
        <v>1329.86666666667</v>
      </c>
      <c r="L270" s="21">
        <v>24380.8888888889</v>
      </c>
      <c r="M270" s="21">
        <v>113.888888888889</v>
      </c>
      <c r="N270" s="2" t="s">
        <v>80</v>
      </c>
    </row>
    <row r="271" s="2" customFormat="1" spans="1:14">
      <c r="A271" s="20">
        <v>45837</v>
      </c>
      <c r="B271" s="2" t="s">
        <v>82</v>
      </c>
      <c r="C271" s="2" t="s">
        <v>83</v>
      </c>
      <c r="D271" s="2">
        <v>1</v>
      </c>
      <c r="E271" s="2">
        <v>1074</v>
      </c>
      <c r="F271" s="2">
        <v>165</v>
      </c>
      <c r="G271" s="2">
        <v>218789</v>
      </c>
      <c r="H271" s="2">
        <v>6</v>
      </c>
      <c r="I271" s="2" t="s">
        <v>78</v>
      </c>
      <c r="J271" s="3">
        <v>0.153631284916201</v>
      </c>
      <c r="K271" s="21">
        <v>1325.99393939394</v>
      </c>
      <c r="L271" s="21">
        <v>36464.8333333333</v>
      </c>
      <c r="M271" s="21">
        <v>179</v>
      </c>
      <c r="N271" s="2" t="s">
        <v>80</v>
      </c>
    </row>
    <row r="272" s="2" customFormat="1" spans="1:14">
      <c r="A272" s="20">
        <v>45838</v>
      </c>
      <c r="B272" s="2" t="s">
        <v>82</v>
      </c>
      <c r="C272" s="2" t="s">
        <v>83</v>
      </c>
      <c r="D272" s="2">
        <v>1</v>
      </c>
      <c r="E272" s="2">
        <v>707</v>
      </c>
      <c r="F272" s="2">
        <v>107</v>
      </c>
      <c r="G272" s="2">
        <v>141321</v>
      </c>
      <c r="H272" s="2">
        <v>7</v>
      </c>
      <c r="I272" s="2" t="s">
        <v>78</v>
      </c>
      <c r="J272" s="3">
        <v>0.151343705799151</v>
      </c>
      <c r="K272" s="21">
        <v>1320.75700934579</v>
      </c>
      <c r="L272" s="21">
        <v>20188.7142857143</v>
      </c>
      <c r="M272" s="21">
        <v>101</v>
      </c>
      <c r="N272" s="2" t="s">
        <v>79</v>
      </c>
    </row>
    <row r="273" s="2" customFormat="1" spans="1:14">
      <c r="A273" s="20">
        <v>45839</v>
      </c>
      <c r="B273" s="2" t="s">
        <v>82</v>
      </c>
      <c r="C273" s="2" t="s">
        <v>83</v>
      </c>
      <c r="D273" s="2">
        <v>1</v>
      </c>
      <c r="E273" s="2">
        <v>563</v>
      </c>
      <c r="F273" s="2">
        <v>87</v>
      </c>
      <c r="G273" s="2">
        <v>123826</v>
      </c>
      <c r="H273" s="2">
        <v>5</v>
      </c>
      <c r="I273" s="2" t="s">
        <v>78</v>
      </c>
      <c r="J273" s="3">
        <v>0.154529307282416</v>
      </c>
      <c r="K273" s="21">
        <v>1423.28735632184</v>
      </c>
      <c r="L273" s="21">
        <v>24765.2</v>
      </c>
      <c r="M273" s="21">
        <v>112.6</v>
      </c>
      <c r="N273" s="2" t="s">
        <v>79</v>
      </c>
    </row>
    <row r="274" s="2" customFormat="1" spans="1:14">
      <c r="A274" s="20">
        <v>45840</v>
      </c>
      <c r="B274" s="2" t="s">
        <v>82</v>
      </c>
      <c r="C274" s="2" t="s">
        <v>83</v>
      </c>
      <c r="D274" s="2">
        <v>1</v>
      </c>
      <c r="E274" s="2">
        <v>816</v>
      </c>
      <c r="F274" s="2">
        <v>121</v>
      </c>
      <c r="G274" s="2">
        <v>173122</v>
      </c>
      <c r="H274" s="2">
        <v>5</v>
      </c>
      <c r="I274" s="2" t="s">
        <v>78</v>
      </c>
      <c r="J274" s="3">
        <v>0.14828431372549</v>
      </c>
      <c r="K274" s="21">
        <v>1430.76033057851</v>
      </c>
      <c r="L274" s="21">
        <v>34624.4</v>
      </c>
      <c r="M274" s="21">
        <v>163.2</v>
      </c>
      <c r="N274" s="2" t="s">
        <v>79</v>
      </c>
    </row>
    <row r="275" s="2" customFormat="1" spans="1:14">
      <c r="A275" s="20">
        <v>45841</v>
      </c>
      <c r="B275" s="2" t="s">
        <v>82</v>
      </c>
      <c r="C275" s="2" t="s">
        <v>83</v>
      </c>
      <c r="D275" s="2">
        <v>1</v>
      </c>
      <c r="E275" s="2">
        <v>744</v>
      </c>
      <c r="F275" s="2">
        <v>130</v>
      </c>
      <c r="G275" s="2">
        <v>197848</v>
      </c>
      <c r="H275" s="2">
        <v>5</v>
      </c>
      <c r="I275" s="2" t="s">
        <v>78</v>
      </c>
      <c r="J275" s="3">
        <v>0.174731182795699</v>
      </c>
      <c r="K275" s="21">
        <v>1521.90769230769</v>
      </c>
      <c r="L275" s="21">
        <v>39569.6</v>
      </c>
      <c r="M275" s="21">
        <v>148.8</v>
      </c>
      <c r="N275" s="2" t="s">
        <v>79</v>
      </c>
    </row>
    <row r="276" s="2" customFormat="1" spans="1:14">
      <c r="A276" s="20">
        <v>45842</v>
      </c>
      <c r="B276" s="2" t="s">
        <v>82</v>
      </c>
      <c r="C276" s="2" t="s">
        <v>83</v>
      </c>
      <c r="D276" s="2">
        <v>1</v>
      </c>
      <c r="E276" s="2">
        <v>678</v>
      </c>
      <c r="F276" s="2">
        <v>118</v>
      </c>
      <c r="G276" s="2">
        <v>178463</v>
      </c>
      <c r="H276" s="2">
        <v>8</v>
      </c>
      <c r="I276" s="2" t="s">
        <v>78</v>
      </c>
      <c r="J276" s="3">
        <v>0.174041297935103</v>
      </c>
      <c r="K276" s="21">
        <v>1512.39830508475</v>
      </c>
      <c r="L276" s="21">
        <v>22307.875</v>
      </c>
      <c r="M276" s="21">
        <v>84.75</v>
      </c>
      <c r="N276" s="2" t="s">
        <v>79</v>
      </c>
    </row>
    <row r="277" s="2" customFormat="1" spans="1:14">
      <c r="A277" s="20">
        <v>45843</v>
      </c>
      <c r="B277" s="2" t="s">
        <v>82</v>
      </c>
      <c r="C277" s="2" t="s">
        <v>83</v>
      </c>
      <c r="D277" s="2">
        <v>1</v>
      </c>
      <c r="E277" s="2">
        <v>1078</v>
      </c>
      <c r="F277" s="2">
        <v>189</v>
      </c>
      <c r="G277" s="2">
        <v>211100</v>
      </c>
      <c r="H277" s="2">
        <v>6</v>
      </c>
      <c r="I277" s="2" t="s">
        <v>78</v>
      </c>
      <c r="J277" s="3">
        <v>0.175324675324675</v>
      </c>
      <c r="K277" s="21">
        <v>1116.93121693122</v>
      </c>
      <c r="L277" s="21">
        <v>35183.3333333333</v>
      </c>
      <c r="M277" s="21">
        <v>179.666666666667</v>
      </c>
      <c r="N277" s="2" t="s">
        <v>80</v>
      </c>
    </row>
    <row r="278" s="2" customFormat="1" spans="1:14">
      <c r="A278" s="20">
        <v>45844</v>
      </c>
      <c r="B278" s="2" t="s">
        <v>82</v>
      </c>
      <c r="C278" s="2" t="s">
        <v>83</v>
      </c>
      <c r="D278" s="2">
        <v>1</v>
      </c>
      <c r="E278" s="2">
        <v>1078</v>
      </c>
      <c r="F278" s="2">
        <v>167</v>
      </c>
      <c r="G278" s="2">
        <v>281519</v>
      </c>
      <c r="H278" s="2">
        <v>7</v>
      </c>
      <c r="I278" s="2" t="s">
        <v>78</v>
      </c>
      <c r="J278" s="3">
        <v>0.154916512059369</v>
      </c>
      <c r="K278" s="21">
        <v>1685.74251497006</v>
      </c>
      <c r="L278" s="21">
        <v>40217</v>
      </c>
      <c r="M278" s="21">
        <v>154</v>
      </c>
      <c r="N278" s="2" t="s">
        <v>80</v>
      </c>
    </row>
    <row r="279" s="2" customFormat="1" spans="1:14">
      <c r="A279" s="20">
        <v>45845</v>
      </c>
      <c r="B279" s="2" t="s">
        <v>82</v>
      </c>
      <c r="C279" s="2" t="s">
        <v>83</v>
      </c>
      <c r="D279" s="2">
        <v>1</v>
      </c>
      <c r="E279" s="2">
        <v>838</v>
      </c>
      <c r="F279" s="2">
        <v>137</v>
      </c>
      <c r="G279" s="2">
        <v>170770</v>
      </c>
      <c r="H279" s="2">
        <v>4</v>
      </c>
      <c r="I279" s="2" t="s">
        <v>78</v>
      </c>
      <c r="J279" s="3">
        <v>0.163484486873508</v>
      </c>
      <c r="K279" s="21">
        <v>1246.49635036496</v>
      </c>
      <c r="L279" s="21">
        <v>42692.5</v>
      </c>
      <c r="M279" s="21">
        <v>209.5</v>
      </c>
      <c r="N279" s="2" t="s">
        <v>79</v>
      </c>
    </row>
    <row r="280" s="2" customFormat="1" spans="1:14">
      <c r="A280" s="20">
        <v>45846</v>
      </c>
      <c r="B280" s="2" t="s">
        <v>82</v>
      </c>
      <c r="C280" s="2" t="s">
        <v>83</v>
      </c>
      <c r="D280" s="2">
        <v>1</v>
      </c>
      <c r="E280" s="2">
        <v>773</v>
      </c>
      <c r="F280" s="2">
        <v>141</v>
      </c>
      <c r="G280" s="2">
        <v>230788</v>
      </c>
      <c r="H280" s="2">
        <v>8</v>
      </c>
      <c r="I280" s="2" t="s">
        <v>78</v>
      </c>
      <c r="J280" s="3">
        <v>0.182406209573092</v>
      </c>
      <c r="K280" s="21">
        <v>1636.79432624113</v>
      </c>
      <c r="L280" s="21">
        <v>28848.5</v>
      </c>
      <c r="M280" s="21">
        <v>96.625</v>
      </c>
      <c r="N280" s="2" t="s">
        <v>79</v>
      </c>
    </row>
    <row r="281" s="2" customFormat="1" spans="1:14">
      <c r="A281" s="20">
        <v>45847</v>
      </c>
      <c r="B281" s="2" t="s">
        <v>82</v>
      </c>
      <c r="C281" s="2" t="s">
        <v>83</v>
      </c>
      <c r="D281" s="2">
        <v>1</v>
      </c>
      <c r="E281" s="2">
        <v>672</v>
      </c>
      <c r="F281" s="2">
        <v>115</v>
      </c>
      <c r="G281" s="2">
        <v>143382</v>
      </c>
      <c r="H281" s="2">
        <v>4</v>
      </c>
      <c r="I281" s="2" t="s">
        <v>81</v>
      </c>
      <c r="J281" s="3">
        <v>0.171130952380952</v>
      </c>
      <c r="K281" s="21">
        <v>1246.8</v>
      </c>
      <c r="L281" s="21">
        <v>35845.5</v>
      </c>
      <c r="M281" s="21">
        <v>168</v>
      </c>
      <c r="N281" s="2" t="s">
        <v>79</v>
      </c>
    </row>
    <row r="282" s="2" customFormat="1" spans="1:14">
      <c r="A282" s="20">
        <v>45848</v>
      </c>
      <c r="B282" s="2" t="s">
        <v>82</v>
      </c>
      <c r="C282" s="2" t="s">
        <v>83</v>
      </c>
      <c r="D282" s="2">
        <v>1</v>
      </c>
      <c r="E282" s="2">
        <v>683</v>
      </c>
      <c r="F282" s="2">
        <v>121</v>
      </c>
      <c r="G282" s="2">
        <v>161533</v>
      </c>
      <c r="H282" s="2">
        <v>6</v>
      </c>
      <c r="I282" s="2" t="s">
        <v>78</v>
      </c>
      <c r="J282" s="3">
        <v>0.177159590043924</v>
      </c>
      <c r="K282" s="21">
        <v>1334.98347107438</v>
      </c>
      <c r="L282" s="21">
        <v>26922.1666666667</v>
      </c>
      <c r="M282" s="21">
        <v>113.833333333333</v>
      </c>
      <c r="N282" s="2" t="s">
        <v>79</v>
      </c>
    </row>
    <row r="283" s="2" customFormat="1" spans="1:14">
      <c r="A283" s="20">
        <v>45849</v>
      </c>
      <c r="B283" s="2" t="s">
        <v>82</v>
      </c>
      <c r="C283" s="2" t="s">
        <v>83</v>
      </c>
      <c r="D283" s="2">
        <v>1</v>
      </c>
      <c r="E283" s="2">
        <v>625</v>
      </c>
      <c r="F283" s="2">
        <v>108</v>
      </c>
      <c r="G283" s="2">
        <v>142452</v>
      </c>
      <c r="H283" s="2">
        <v>8</v>
      </c>
      <c r="I283" s="2" t="s">
        <v>78</v>
      </c>
      <c r="J283" s="3">
        <v>0.1728</v>
      </c>
      <c r="K283" s="21">
        <v>1319</v>
      </c>
      <c r="L283" s="21">
        <v>17806.5</v>
      </c>
      <c r="M283" s="21">
        <v>78.125</v>
      </c>
      <c r="N283" s="2" t="s">
        <v>79</v>
      </c>
    </row>
    <row r="284" s="2" customFormat="1" spans="1:14">
      <c r="A284" s="20">
        <v>45850</v>
      </c>
      <c r="B284" s="2" t="s">
        <v>82</v>
      </c>
      <c r="C284" s="2" t="s">
        <v>83</v>
      </c>
      <c r="D284" s="2">
        <v>1</v>
      </c>
      <c r="E284" s="2">
        <v>1166</v>
      </c>
      <c r="F284" s="2">
        <v>209</v>
      </c>
      <c r="G284" s="2">
        <v>284742</v>
      </c>
      <c r="H284" s="2">
        <v>8</v>
      </c>
      <c r="I284" s="2" t="s">
        <v>78</v>
      </c>
      <c r="J284" s="3">
        <v>0.179245283018868</v>
      </c>
      <c r="K284" s="21">
        <v>1362.4019138756</v>
      </c>
      <c r="L284" s="21">
        <v>35592.75</v>
      </c>
      <c r="M284" s="21">
        <v>145.75</v>
      </c>
      <c r="N284" s="2" t="s">
        <v>80</v>
      </c>
    </row>
    <row r="285" s="2" customFormat="1" spans="1:14">
      <c r="A285" s="20">
        <v>45851</v>
      </c>
      <c r="B285" s="2" t="s">
        <v>82</v>
      </c>
      <c r="C285" s="2" t="s">
        <v>83</v>
      </c>
      <c r="D285" s="2">
        <v>1</v>
      </c>
      <c r="E285" s="2">
        <v>916</v>
      </c>
      <c r="F285" s="2">
        <v>144</v>
      </c>
      <c r="G285" s="2">
        <v>217916</v>
      </c>
      <c r="H285" s="2">
        <v>9</v>
      </c>
      <c r="I285" s="2" t="s">
        <v>78</v>
      </c>
      <c r="J285" s="3">
        <v>0.157205240174672</v>
      </c>
      <c r="K285" s="21">
        <v>1513.30555555556</v>
      </c>
      <c r="L285" s="21">
        <v>24212.8888888889</v>
      </c>
      <c r="M285" s="21">
        <v>101.777777777778</v>
      </c>
      <c r="N285" s="2" t="s">
        <v>80</v>
      </c>
    </row>
    <row r="286" s="2" customFormat="1" spans="1:14">
      <c r="A286" s="20">
        <v>45852</v>
      </c>
      <c r="B286" s="2" t="s">
        <v>82</v>
      </c>
      <c r="C286" s="2" t="s">
        <v>83</v>
      </c>
      <c r="D286" s="2">
        <v>1</v>
      </c>
      <c r="E286" s="2">
        <v>768</v>
      </c>
      <c r="F286" s="2">
        <v>138</v>
      </c>
      <c r="G286" s="2">
        <v>212563</v>
      </c>
      <c r="H286" s="2">
        <v>7</v>
      </c>
      <c r="I286" s="2" t="s">
        <v>78</v>
      </c>
      <c r="J286" s="3">
        <v>0.1796875</v>
      </c>
      <c r="K286" s="21">
        <v>1540.3115942029</v>
      </c>
      <c r="L286" s="21">
        <v>30366.1428571429</v>
      </c>
      <c r="M286" s="21">
        <v>109.714285714286</v>
      </c>
      <c r="N286" s="2" t="s">
        <v>79</v>
      </c>
    </row>
    <row r="287" s="2" customFormat="1" spans="1:14">
      <c r="A287" s="20">
        <v>45853</v>
      </c>
      <c r="B287" s="2" t="s">
        <v>82</v>
      </c>
      <c r="C287" s="2" t="s">
        <v>83</v>
      </c>
      <c r="D287" s="2">
        <v>1</v>
      </c>
      <c r="E287" s="2">
        <v>827</v>
      </c>
      <c r="F287" s="2">
        <v>126</v>
      </c>
      <c r="G287" s="2">
        <v>161168</v>
      </c>
      <c r="H287" s="2">
        <v>7</v>
      </c>
      <c r="I287" s="2" t="s">
        <v>78</v>
      </c>
      <c r="J287" s="3">
        <v>0.15235792019347</v>
      </c>
      <c r="K287" s="21">
        <v>1279.11111111111</v>
      </c>
      <c r="L287" s="21">
        <v>23024</v>
      </c>
      <c r="M287" s="21">
        <v>118.142857142857</v>
      </c>
      <c r="N287" s="2" t="s">
        <v>79</v>
      </c>
    </row>
    <row r="288" s="2" customFormat="1" spans="1:14">
      <c r="A288" s="20">
        <v>45854</v>
      </c>
      <c r="B288" s="2" t="s">
        <v>82</v>
      </c>
      <c r="C288" s="2" t="s">
        <v>83</v>
      </c>
      <c r="D288" s="2">
        <v>1</v>
      </c>
      <c r="E288" s="2">
        <v>642</v>
      </c>
      <c r="F288" s="2">
        <v>117</v>
      </c>
      <c r="G288" s="2">
        <v>174597</v>
      </c>
      <c r="H288" s="2">
        <v>7</v>
      </c>
      <c r="I288" s="2" t="s">
        <v>78</v>
      </c>
      <c r="J288" s="3">
        <v>0.182242990654206</v>
      </c>
      <c r="K288" s="21">
        <v>1492.28205128205</v>
      </c>
      <c r="L288" s="21">
        <v>24942.4285714286</v>
      </c>
      <c r="M288" s="21">
        <v>91.7142857142857</v>
      </c>
      <c r="N288" s="2" t="s">
        <v>79</v>
      </c>
    </row>
    <row r="289" s="2" customFormat="1" spans="1:14">
      <c r="A289" s="20">
        <v>45855</v>
      </c>
      <c r="B289" s="2" t="s">
        <v>82</v>
      </c>
      <c r="C289" s="2" t="s">
        <v>83</v>
      </c>
      <c r="D289" s="2">
        <v>1</v>
      </c>
      <c r="E289" s="2">
        <v>775</v>
      </c>
      <c r="F289" s="2">
        <v>117</v>
      </c>
      <c r="G289" s="2">
        <v>171150</v>
      </c>
      <c r="H289" s="2">
        <v>5</v>
      </c>
      <c r="I289" s="2" t="s">
        <v>78</v>
      </c>
      <c r="J289" s="3">
        <v>0.150967741935484</v>
      </c>
      <c r="K289" s="21">
        <v>1462.82051282051</v>
      </c>
      <c r="L289" s="21">
        <v>34230</v>
      </c>
      <c r="M289" s="21">
        <v>155</v>
      </c>
      <c r="N289" s="2" t="s">
        <v>79</v>
      </c>
    </row>
    <row r="290" s="2" customFormat="1" spans="1:14">
      <c r="A290" s="20">
        <v>45856</v>
      </c>
      <c r="B290" s="2" t="s">
        <v>82</v>
      </c>
      <c r="C290" s="2" t="s">
        <v>83</v>
      </c>
      <c r="D290" s="2">
        <v>1</v>
      </c>
      <c r="E290" s="2">
        <v>752</v>
      </c>
      <c r="F290" s="2">
        <v>120</v>
      </c>
      <c r="G290" s="2">
        <v>173318</v>
      </c>
      <c r="H290" s="2">
        <v>4</v>
      </c>
      <c r="I290" s="2" t="s">
        <v>78</v>
      </c>
      <c r="J290" s="3">
        <v>0.159574468085106</v>
      </c>
      <c r="K290" s="21">
        <v>1444.31666666667</v>
      </c>
      <c r="L290" s="21">
        <v>43329.5</v>
      </c>
      <c r="M290" s="21">
        <v>188</v>
      </c>
      <c r="N290" s="2" t="s">
        <v>79</v>
      </c>
    </row>
    <row r="291" s="2" customFormat="1" spans="1:14">
      <c r="A291" s="20">
        <v>45857</v>
      </c>
      <c r="B291" s="2" t="s">
        <v>82</v>
      </c>
      <c r="C291" s="2" t="s">
        <v>83</v>
      </c>
      <c r="D291" s="2">
        <v>1</v>
      </c>
      <c r="E291" s="2">
        <v>1076</v>
      </c>
      <c r="F291" s="2">
        <v>161</v>
      </c>
      <c r="G291" s="2">
        <v>245895</v>
      </c>
      <c r="H291" s="2">
        <v>6</v>
      </c>
      <c r="I291" s="2" t="s">
        <v>78</v>
      </c>
      <c r="J291" s="3">
        <v>0.149628252788104</v>
      </c>
      <c r="K291" s="21">
        <v>1527.29813664596</v>
      </c>
      <c r="L291" s="21">
        <v>40982.5</v>
      </c>
      <c r="M291" s="21">
        <v>179.333333333333</v>
      </c>
      <c r="N291" s="2" t="s">
        <v>80</v>
      </c>
    </row>
    <row r="292" s="2" customFormat="1" spans="1:14">
      <c r="A292" s="20">
        <v>45858</v>
      </c>
      <c r="B292" s="2" t="s">
        <v>82</v>
      </c>
      <c r="C292" s="2" t="s">
        <v>83</v>
      </c>
      <c r="D292" s="2">
        <v>1</v>
      </c>
      <c r="E292" s="2">
        <v>829</v>
      </c>
      <c r="F292" s="2">
        <v>141</v>
      </c>
      <c r="G292" s="2">
        <v>193543</v>
      </c>
      <c r="H292" s="2">
        <v>9</v>
      </c>
      <c r="I292" s="2" t="s">
        <v>78</v>
      </c>
      <c r="J292" s="3">
        <v>0.170084439083233</v>
      </c>
      <c r="K292" s="21">
        <v>1372.64539007092</v>
      </c>
      <c r="L292" s="21">
        <v>21504.7777777778</v>
      </c>
      <c r="M292" s="21">
        <v>92.1111111111111</v>
      </c>
      <c r="N292" s="2" t="s">
        <v>80</v>
      </c>
    </row>
    <row r="293" s="2" customFormat="1" spans="1:14">
      <c r="A293" s="20">
        <v>45859</v>
      </c>
      <c r="B293" s="2" t="s">
        <v>82</v>
      </c>
      <c r="C293" s="2" t="s">
        <v>83</v>
      </c>
      <c r="D293" s="2">
        <v>1</v>
      </c>
      <c r="E293" s="2">
        <v>618</v>
      </c>
      <c r="F293" s="2">
        <v>99</v>
      </c>
      <c r="G293" s="2">
        <v>123582</v>
      </c>
      <c r="H293" s="2">
        <v>7</v>
      </c>
      <c r="I293" s="2" t="s">
        <v>78</v>
      </c>
      <c r="J293" s="3">
        <v>0.160194174757282</v>
      </c>
      <c r="K293" s="21">
        <v>1248.30303030303</v>
      </c>
      <c r="L293" s="21">
        <v>17654.5714285714</v>
      </c>
      <c r="M293" s="21">
        <v>88.2857142857143</v>
      </c>
      <c r="N293" s="2" t="s">
        <v>79</v>
      </c>
    </row>
    <row r="294" s="2" customFormat="1" spans="1:14">
      <c r="A294" s="20">
        <v>45860</v>
      </c>
      <c r="B294" s="2" t="s">
        <v>82</v>
      </c>
      <c r="C294" s="2" t="s">
        <v>83</v>
      </c>
      <c r="D294" s="2">
        <v>1</v>
      </c>
      <c r="E294" s="2">
        <v>750</v>
      </c>
      <c r="F294" s="2">
        <v>126</v>
      </c>
      <c r="G294" s="2">
        <v>197213</v>
      </c>
      <c r="H294" s="2">
        <v>9</v>
      </c>
      <c r="I294" s="2" t="s">
        <v>78</v>
      </c>
      <c r="J294" s="3">
        <v>0.168</v>
      </c>
      <c r="K294" s="21">
        <v>1565.18253968254</v>
      </c>
      <c r="L294" s="21">
        <v>21912.5555555556</v>
      </c>
      <c r="M294" s="21">
        <v>83.3333333333333</v>
      </c>
      <c r="N294" s="2" t="s">
        <v>79</v>
      </c>
    </row>
    <row r="295" s="2" customFormat="1" spans="1:14">
      <c r="A295" s="20">
        <v>45861</v>
      </c>
      <c r="B295" s="2" t="s">
        <v>82</v>
      </c>
      <c r="C295" s="2" t="s">
        <v>83</v>
      </c>
      <c r="D295" s="2">
        <v>1</v>
      </c>
      <c r="E295" s="2">
        <v>676</v>
      </c>
      <c r="F295" s="2">
        <v>120</v>
      </c>
      <c r="G295" s="2">
        <v>145687</v>
      </c>
      <c r="H295" s="2">
        <v>9</v>
      </c>
      <c r="I295" s="2" t="s">
        <v>78</v>
      </c>
      <c r="J295" s="3">
        <v>0.177514792899408</v>
      </c>
      <c r="K295" s="21">
        <v>1214.05833333333</v>
      </c>
      <c r="L295" s="21">
        <v>16187.4444444445</v>
      </c>
      <c r="M295" s="21">
        <v>75.1111111111111</v>
      </c>
      <c r="N295" s="2" t="s">
        <v>79</v>
      </c>
    </row>
    <row r="296" s="2" customFormat="1" spans="1:14">
      <c r="A296" s="20">
        <v>45862</v>
      </c>
      <c r="B296" s="2" t="s">
        <v>82</v>
      </c>
      <c r="C296" s="2" t="s">
        <v>83</v>
      </c>
      <c r="D296" s="2">
        <v>1</v>
      </c>
      <c r="E296" s="2">
        <v>718</v>
      </c>
      <c r="F296" s="2">
        <v>127</v>
      </c>
      <c r="G296" s="2">
        <v>195313</v>
      </c>
      <c r="H296" s="2">
        <v>6</v>
      </c>
      <c r="I296" s="2" t="s">
        <v>78</v>
      </c>
      <c r="J296" s="3">
        <v>0.176880222841226</v>
      </c>
      <c r="K296" s="21">
        <v>1537.89763779528</v>
      </c>
      <c r="L296" s="21">
        <v>32552.1666666667</v>
      </c>
      <c r="M296" s="21">
        <v>119.666666666667</v>
      </c>
      <c r="N296" s="2" t="s">
        <v>79</v>
      </c>
    </row>
    <row r="297" s="2" customFormat="1" spans="1:14">
      <c r="A297" s="20">
        <v>45863</v>
      </c>
      <c r="B297" s="2" t="s">
        <v>82</v>
      </c>
      <c r="C297" s="2" t="s">
        <v>83</v>
      </c>
      <c r="D297" s="2">
        <v>1</v>
      </c>
      <c r="E297" s="2">
        <v>623</v>
      </c>
      <c r="F297" s="2">
        <v>97</v>
      </c>
      <c r="G297" s="2">
        <v>153631</v>
      </c>
      <c r="H297" s="2">
        <v>6</v>
      </c>
      <c r="I297" s="2" t="s">
        <v>78</v>
      </c>
      <c r="J297" s="3">
        <v>0.15569823434992</v>
      </c>
      <c r="K297" s="21">
        <v>1583.82474226804</v>
      </c>
      <c r="L297" s="21">
        <v>25605.1666666667</v>
      </c>
      <c r="M297" s="21">
        <v>103.833333333333</v>
      </c>
      <c r="N297" s="2" t="s">
        <v>79</v>
      </c>
    </row>
    <row r="298" s="2" customFormat="1" spans="1:14">
      <c r="A298" s="20">
        <v>45864</v>
      </c>
      <c r="B298" s="2" t="s">
        <v>82</v>
      </c>
      <c r="C298" s="2" t="s">
        <v>83</v>
      </c>
      <c r="D298" s="2">
        <v>1</v>
      </c>
      <c r="E298" s="2">
        <v>918</v>
      </c>
      <c r="F298" s="2">
        <v>154</v>
      </c>
      <c r="G298" s="2">
        <v>170615</v>
      </c>
      <c r="H298" s="2">
        <v>5</v>
      </c>
      <c r="I298" s="2" t="s">
        <v>78</v>
      </c>
      <c r="J298" s="3">
        <v>0.167755991285403</v>
      </c>
      <c r="K298" s="21">
        <v>1107.88961038961</v>
      </c>
      <c r="L298" s="21">
        <v>34123</v>
      </c>
      <c r="M298" s="21">
        <v>183.6</v>
      </c>
      <c r="N298" s="2" t="s">
        <v>80</v>
      </c>
    </row>
    <row r="299" s="2" customFormat="1" spans="1:14">
      <c r="A299" s="20">
        <v>45865</v>
      </c>
      <c r="B299" s="2" t="s">
        <v>82</v>
      </c>
      <c r="C299" s="2" t="s">
        <v>83</v>
      </c>
      <c r="D299" s="2">
        <v>1</v>
      </c>
      <c r="E299" s="2">
        <v>864</v>
      </c>
      <c r="F299" s="2">
        <v>130</v>
      </c>
      <c r="G299" s="2">
        <v>191058</v>
      </c>
      <c r="H299" s="2">
        <v>5</v>
      </c>
      <c r="I299" s="2" t="s">
        <v>78</v>
      </c>
      <c r="J299" s="3">
        <v>0.150462962962963</v>
      </c>
      <c r="K299" s="21">
        <v>1469.67692307692</v>
      </c>
      <c r="L299" s="21">
        <v>38211.6</v>
      </c>
      <c r="M299" s="21">
        <v>172.8</v>
      </c>
      <c r="N299" s="2" t="s">
        <v>80</v>
      </c>
    </row>
    <row r="300" s="2" customFormat="1" spans="1:14">
      <c r="A300" s="20">
        <v>45866</v>
      </c>
      <c r="B300" s="2" t="s">
        <v>82</v>
      </c>
      <c r="C300" s="2" t="s">
        <v>83</v>
      </c>
      <c r="D300" s="2">
        <v>1</v>
      </c>
      <c r="E300" s="2">
        <v>788</v>
      </c>
      <c r="F300" s="2">
        <v>120</v>
      </c>
      <c r="G300" s="2">
        <v>185887</v>
      </c>
      <c r="H300" s="2">
        <v>7</v>
      </c>
      <c r="I300" s="2" t="s">
        <v>81</v>
      </c>
      <c r="J300" s="3">
        <v>0.152284263959391</v>
      </c>
      <c r="K300" s="21">
        <v>1549.05833333333</v>
      </c>
      <c r="L300" s="21">
        <v>26555.2857142857</v>
      </c>
      <c r="M300" s="21">
        <v>112.571428571429</v>
      </c>
      <c r="N300" s="2" t="s">
        <v>79</v>
      </c>
    </row>
    <row r="301" s="2" customFormat="1" spans="1:14">
      <c r="A301" s="20">
        <v>45867</v>
      </c>
      <c r="B301" s="2" t="s">
        <v>82</v>
      </c>
      <c r="C301" s="2" t="s">
        <v>83</v>
      </c>
      <c r="D301" s="2">
        <v>1</v>
      </c>
      <c r="E301" s="2">
        <v>812</v>
      </c>
      <c r="F301" s="2">
        <v>118</v>
      </c>
      <c r="G301" s="2">
        <v>142062</v>
      </c>
      <c r="H301" s="2">
        <v>5</v>
      </c>
      <c r="I301" s="2" t="s">
        <v>78</v>
      </c>
      <c r="J301" s="3">
        <v>0.145320197044335</v>
      </c>
      <c r="K301" s="21">
        <v>1203.91525423729</v>
      </c>
      <c r="L301" s="21">
        <v>28412.4</v>
      </c>
      <c r="M301" s="21">
        <v>162.4</v>
      </c>
      <c r="N301" s="2" t="s">
        <v>79</v>
      </c>
    </row>
    <row r="302" s="2" customFormat="1" spans="1:14">
      <c r="A302" s="20">
        <v>45868</v>
      </c>
      <c r="B302" s="2" t="s">
        <v>82</v>
      </c>
      <c r="C302" s="2" t="s">
        <v>83</v>
      </c>
      <c r="D302" s="2">
        <v>1</v>
      </c>
      <c r="E302" s="2">
        <v>625</v>
      </c>
      <c r="F302" s="2">
        <v>104</v>
      </c>
      <c r="G302" s="2">
        <v>143170</v>
      </c>
      <c r="H302" s="2">
        <v>5</v>
      </c>
      <c r="I302" s="2" t="s">
        <v>81</v>
      </c>
      <c r="J302" s="3">
        <v>0.1664</v>
      </c>
      <c r="K302" s="21">
        <v>1376.63461538462</v>
      </c>
      <c r="L302" s="21">
        <v>28634</v>
      </c>
      <c r="M302" s="21">
        <v>125</v>
      </c>
      <c r="N302" s="2" t="s">
        <v>79</v>
      </c>
    </row>
    <row r="303" s="2" customFormat="1" spans="1:14">
      <c r="A303" s="20">
        <v>45869</v>
      </c>
      <c r="B303" s="2" t="s">
        <v>82</v>
      </c>
      <c r="C303" s="2" t="s">
        <v>83</v>
      </c>
      <c r="D303" s="2">
        <v>1</v>
      </c>
      <c r="E303" s="2">
        <v>653</v>
      </c>
      <c r="F303" s="2">
        <v>106</v>
      </c>
      <c r="G303" s="2">
        <v>151321</v>
      </c>
      <c r="H303" s="2">
        <v>5</v>
      </c>
      <c r="I303" s="2" t="s">
        <v>78</v>
      </c>
      <c r="J303" s="3">
        <v>0.162327718223583</v>
      </c>
      <c r="K303" s="21">
        <v>1427.55660377359</v>
      </c>
      <c r="L303" s="21">
        <v>30264.2</v>
      </c>
      <c r="M303" s="21">
        <v>130.6</v>
      </c>
      <c r="N303" s="2" t="s">
        <v>79</v>
      </c>
    </row>
    <row r="304" s="2" customFormat="1" spans="1:14">
      <c r="A304" s="20">
        <v>45870</v>
      </c>
      <c r="B304" s="2" t="s">
        <v>82</v>
      </c>
      <c r="C304" s="2" t="s">
        <v>83</v>
      </c>
      <c r="D304" s="2">
        <v>1</v>
      </c>
      <c r="E304" s="2">
        <v>745</v>
      </c>
      <c r="F304" s="2">
        <v>126</v>
      </c>
      <c r="G304" s="2">
        <v>201472</v>
      </c>
      <c r="H304" s="2">
        <v>6</v>
      </c>
      <c r="I304" s="2" t="s">
        <v>78</v>
      </c>
      <c r="J304" s="3">
        <v>0.169127516778524</v>
      </c>
      <c r="K304" s="21">
        <v>1598.98412698413</v>
      </c>
      <c r="L304" s="21">
        <v>33578.6666666667</v>
      </c>
      <c r="M304" s="21">
        <v>124.166666666667</v>
      </c>
      <c r="N304" s="2" t="s">
        <v>79</v>
      </c>
    </row>
    <row r="305" s="2" customFormat="1" spans="1:14">
      <c r="A305" s="20">
        <v>45871</v>
      </c>
      <c r="B305" s="2" t="s">
        <v>82</v>
      </c>
      <c r="C305" s="2" t="s">
        <v>83</v>
      </c>
      <c r="D305" s="2">
        <v>1</v>
      </c>
      <c r="E305" s="2">
        <v>943</v>
      </c>
      <c r="F305" s="2">
        <v>148</v>
      </c>
      <c r="G305" s="2">
        <v>163965</v>
      </c>
      <c r="H305" s="2">
        <v>6</v>
      </c>
      <c r="I305" s="2" t="s">
        <v>78</v>
      </c>
      <c r="J305" s="3">
        <v>0.15694591728526</v>
      </c>
      <c r="K305" s="21">
        <v>1107.87162162162</v>
      </c>
      <c r="L305" s="21">
        <v>27327.5</v>
      </c>
      <c r="M305" s="21">
        <v>157.166666666667</v>
      </c>
      <c r="N305" s="2" t="s">
        <v>80</v>
      </c>
    </row>
    <row r="306" s="2" customFormat="1" spans="1:14">
      <c r="A306" s="20">
        <v>45872</v>
      </c>
      <c r="B306" s="2" t="s">
        <v>82</v>
      </c>
      <c r="C306" s="2" t="s">
        <v>83</v>
      </c>
      <c r="D306" s="2">
        <v>1</v>
      </c>
      <c r="E306" s="2">
        <v>799</v>
      </c>
      <c r="F306" s="2">
        <v>117</v>
      </c>
      <c r="G306" s="2">
        <v>180346</v>
      </c>
      <c r="H306" s="2">
        <v>4</v>
      </c>
      <c r="I306" s="2" t="s">
        <v>78</v>
      </c>
      <c r="J306" s="3">
        <v>0.146433041301627</v>
      </c>
      <c r="K306" s="21">
        <v>1541.4188034188</v>
      </c>
      <c r="L306" s="21">
        <v>45086.5</v>
      </c>
      <c r="M306" s="21">
        <v>199.75</v>
      </c>
      <c r="N306" s="2" t="s">
        <v>80</v>
      </c>
    </row>
    <row r="307" s="2" customFormat="1" spans="1:14">
      <c r="A307" s="20">
        <v>45873</v>
      </c>
      <c r="B307" s="2" t="s">
        <v>82</v>
      </c>
      <c r="C307" s="2" t="s">
        <v>83</v>
      </c>
      <c r="D307" s="2">
        <v>1</v>
      </c>
      <c r="E307" s="2">
        <v>661</v>
      </c>
      <c r="F307" s="2">
        <v>120</v>
      </c>
      <c r="G307" s="2">
        <v>166447</v>
      </c>
      <c r="H307" s="2">
        <v>7</v>
      </c>
      <c r="I307" s="2" t="s">
        <v>78</v>
      </c>
      <c r="J307" s="3">
        <v>0.181543116490166</v>
      </c>
      <c r="K307" s="21">
        <v>1387.05833333333</v>
      </c>
      <c r="L307" s="21">
        <v>23778.1428571429</v>
      </c>
      <c r="M307" s="21">
        <v>94.4285714285714</v>
      </c>
      <c r="N307" s="2" t="s">
        <v>79</v>
      </c>
    </row>
    <row r="308" s="2" customFormat="1" spans="1:14">
      <c r="A308" s="20">
        <v>45874</v>
      </c>
      <c r="B308" s="2" t="s">
        <v>82</v>
      </c>
      <c r="C308" s="2" t="s">
        <v>83</v>
      </c>
      <c r="D308" s="2">
        <v>1</v>
      </c>
      <c r="E308" s="2">
        <v>691</v>
      </c>
      <c r="F308" s="2">
        <v>101</v>
      </c>
      <c r="G308" s="2">
        <v>147262</v>
      </c>
      <c r="H308" s="2">
        <v>4</v>
      </c>
      <c r="I308" s="2" t="s">
        <v>78</v>
      </c>
      <c r="J308" s="3">
        <v>0.14616497829233</v>
      </c>
      <c r="K308" s="21">
        <v>1458.0396039604</v>
      </c>
      <c r="L308" s="21">
        <v>36815.5</v>
      </c>
      <c r="M308" s="21">
        <v>172.75</v>
      </c>
      <c r="N308" s="2" t="s">
        <v>79</v>
      </c>
    </row>
    <row r="309" s="2" customFormat="1" spans="1:14">
      <c r="A309" s="20">
        <v>45875</v>
      </c>
      <c r="B309" s="2" t="s">
        <v>82</v>
      </c>
      <c r="C309" s="2" t="s">
        <v>83</v>
      </c>
      <c r="D309" s="2">
        <v>1</v>
      </c>
      <c r="E309" s="2">
        <v>703</v>
      </c>
      <c r="F309" s="2">
        <v>117</v>
      </c>
      <c r="G309" s="2">
        <v>143862</v>
      </c>
      <c r="H309" s="2">
        <v>9</v>
      </c>
      <c r="I309" s="2" t="s">
        <v>78</v>
      </c>
      <c r="J309" s="3">
        <v>0.166429587482219</v>
      </c>
      <c r="K309" s="21">
        <v>1229.58974358974</v>
      </c>
      <c r="L309" s="21">
        <v>15984.6666666667</v>
      </c>
      <c r="M309" s="21">
        <v>78.1111111111111</v>
      </c>
      <c r="N309" s="2" t="s">
        <v>79</v>
      </c>
    </row>
    <row r="310" s="2" customFormat="1" spans="1:14">
      <c r="A310" s="20">
        <v>45876</v>
      </c>
      <c r="B310" s="2" t="s">
        <v>82</v>
      </c>
      <c r="C310" s="2" t="s">
        <v>83</v>
      </c>
      <c r="D310" s="2">
        <v>1</v>
      </c>
      <c r="E310" s="2">
        <v>506</v>
      </c>
      <c r="F310" s="2">
        <v>88</v>
      </c>
      <c r="G310" s="2">
        <v>134748</v>
      </c>
      <c r="H310" s="2">
        <v>8</v>
      </c>
      <c r="I310" s="2" t="s">
        <v>78</v>
      </c>
      <c r="J310" s="3">
        <v>0.173913043478261</v>
      </c>
      <c r="K310" s="21">
        <v>1531.22727272727</v>
      </c>
      <c r="L310" s="21">
        <v>16843.5</v>
      </c>
      <c r="M310" s="21">
        <v>63.25</v>
      </c>
      <c r="N310" s="2" t="s">
        <v>79</v>
      </c>
    </row>
    <row r="311" s="2" customFormat="1" spans="1:14">
      <c r="A311" s="20">
        <v>45877</v>
      </c>
      <c r="B311" s="2" t="s">
        <v>82</v>
      </c>
      <c r="C311" s="2" t="s">
        <v>83</v>
      </c>
      <c r="D311" s="2">
        <v>1</v>
      </c>
      <c r="E311" s="2">
        <v>787</v>
      </c>
      <c r="F311" s="2">
        <v>138</v>
      </c>
      <c r="G311" s="2">
        <v>165614</v>
      </c>
      <c r="H311" s="2">
        <v>5</v>
      </c>
      <c r="I311" s="2" t="s">
        <v>78</v>
      </c>
      <c r="J311" s="3">
        <v>0.175349428208386</v>
      </c>
      <c r="K311" s="21">
        <v>1200.10144927536</v>
      </c>
      <c r="L311" s="21">
        <v>33122.8</v>
      </c>
      <c r="M311" s="21">
        <v>157.4</v>
      </c>
      <c r="N311" s="2" t="s">
        <v>79</v>
      </c>
    </row>
    <row r="312" s="2" customFormat="1" spans="1:14">
      <c r="A312" s="20">
        <v>45878</v>
      </c>
      <c r="B312" s="2" t="s">
        <v>82</v>
      </c>
      <c r="C312" s="2" t="s">
        <v>83</v>
      </c>
      <c r="D312" s="2">
        <v>1</v>
      </c>
      <c r="E312" s="2">
        <v>1047</v>
      </c>
      <c r="F312" s="2">
        <v>189</v>
      </c>
      <c r="G312" s="2">
        <v>290445</v>
      </c>
      <c r="H312" s="2">
        <v>6</v>
      </c>
      <c r="I312" s="2" t="s">
        <v>81</v>
      </c>
      <c r="J312" s="3">
        <v>0.180515759312321</v>
      </c>
      <c r="K312" s="21">
        <v>1536.74603174603</v>
      </c>
      <c r="L312" s="21">
        <v>48407.5</v>
      </c>
      <c r="M312" s="21">
        <v>174.5</v>
      </c>
      <c r="N312" s="2" t="s">
        <v>80</v>
      </c>
    </row>
    <row r="313" s="2" customFormat="1" spans="1:14">
      <c r="A313" s="20">
        <v>45879</v>
      </c>
      <c r="B313" s="2" t="s">
        <v>82</v>
      </c>
      <c r="C313" s="2" t="s">
        <v>83</v>
      </c>
      <c r="D313" s="2">
        <v>1</v>
      </c>
      <c r="E313" s="2">
        <v>995</v>
      </c>
      <c r="F313" s="2">
        <v>146</v>
      </c>
      <c r="G313" s="2">
        <v>181231</v>
      </c>
      <c r="H313" s="2">
        <v>4</v>
      </c>
      <c r="I313" s="2" t="s">
        <v>78</v>
      </c>
      <c r="J313" s="3">
        <v>0.146733668341709</v>
      </c>
      <c r="K313" s="21">
        <v>1241.30821917808</v>
      </c>
      <c r="L313" s="21">
        <v>45307.75</v>
      </c>
      <c r="M313" s="21">
        <v>248.75</v>
      </c>
      <c r="N313" s="2" t="s">
        <v>80</v>
      </c>
    </row>
    <row r="314" s="2" customFormat="1" spans="1:14">
      <c r="A314" s="20">
        <v>45880</v>
      </c>
      <c r="B314" s="2" t="s">
        <v>82</v>
      </c>
      <c r="C314" s="2" t="s">
        <v>83</v>
      </c>
      <c r="D314" s="2">
        <v>1</v>
      </c>
      <c r="E314" s="2">
        <v>744</v>
      </c>
      <c r="F314" s="2">
        <v>131</v>
      </c>
      <c r="G314" s="2">
        <v>187138</v>
      </c>
      <c r="H314" s="2">
        <v>6</v>
      </c>
      <c r="I314" s="2" t="s">
        <v>78</v>
      </c>
      <c r="J314" s="3">
        <v>0.176075268817204</v>
      </c>
      <c r="K314" s="21">
        <v>1428.53435114504</v>
      </c>
      <c r="L314" s="21">
        <v>31189.6666666667</v>
      </c>
      <c r="M314" s="21">
        <v>124</v>
      </c>
      <c r="N314" s="2" t="s">
        <v>79</v>
      </c>
    </row>
    <row r="315" s="2" customFormat="1" spans="1:14">
      <c r="A315" s="20">
        <v>45881</v>
      </c>
      <c r="B315" s="2" t="s">
        <v>82</v>
      </c>
      <c r="C315" s="2" t="s">
        <v>83</v>
      </c>
      <c r="D315" s="2">
        <v>1</v>
      </c>
      <c r="E315" s="2">
        <v>730</v>
      </c>
      <c r="F315" s="2">
        <v>123</v>
      </c>
      <c r="G315" s="2">
        <v>197932</v>
      </c>
      <c r="H315" s="2">
        <v>5</v>
      </c>
      <c r="I315" s="2" t="s">
        <v>78</v>
      </c>
      <c r="J315" s="3">
        <v>0.168493150684932</v>
      </c>
      <c r="K315" s="21">
        <v>1609.20325203252</v>
      </c>
      <c r="L315" s="21">
        <v>39586.4</v>
      </c>
      <c r="M315" s="21">
        <v>146</v>
      </c>
      <c r="N315" s="2" t="s">
        <v>79</v>
      </c>
    </row>
    <row r="316" s="2" customFormat="1" spans="1:14">
      <c r="A316" s="20">
        <v>45882</v>
      </c>
      <c r="B316" s="2" t="s">
        <v>82</v>
      </c>
      <c r="C316" s="2" t="s">
        <v>83</v>
      </c>
      <c r="D316" s="2">
        <v>1</v>
      </c>
      <c r="E316" s="2">
        <v>898</v>
      </c>
      <c r="F316" s="2">
        <v>138</v>
      </c>
      <c r="G316" s="2">
        <v>155803</v>
      </c>
      <c r="H316" s="2">
        <v>7</v>
      </c>
      <c r="I316" s="2" t="s">
        <v>78</v>
      </c>
      <c r="J316" s="3">
        <v>0.153674832962138</v>
      </c>
      <c r="K316" s="21">
        <v>1129.00724637681</v>
      </c>
      <c r="L316" s="21">
        <v>22257.5714285714</v>
      </c>
      <c r="M316" s="21">
        <v>128.285714285714</v>
      </c>
      <c r="N316" s="2" t="s">
        <v>79</v>
      </c>
    </row>
    <row r="317" s="2" customFormat="1" spans="1:14">
      <c r="A317" s="20">
        <v>45883</v>
      </c>
      <c r="B317" s="2" t="s">
        <v>82</v>
      </c>
      <c r="C317" s="2" t="s">
        <v>83</v>
      </c>
      <c r="D317" s="2">
        <v>1</v>
      </c>
      <c r="E317" s="2">
        <v>664</v>
      </c>
      <c r="F317" s="2">
        <v>99</v>
      </c>
      <c r="G317" s="2">
        <v>133358</v>
      </c>
      <c r="H317" s="2">
        <v>4</v>
      </c>
      <c r="I317" s="2" t="s">
        <v>78</v>
      </c>
      <c r="J317" s="3">
        <v>0.149096385542169</v>
      </c>
      <c r="K317" s="21">
        <v>1347.05050505051</v>
      </c>
      <c r="L317" s="21">
        <v>33339.5</v>
      </c>
      <c r="M317" s="21">
        <v>166</v>
      </c>
      <c r="N317" s="2" t="s">
        <v>79</v>
      </c>
    </row>
    <row r="318" s="2" customFormat="1" spans="1:14">
      <c r="A318" s="20">
        <v>45884</v>
      </c>
      <c r="B318" s="2" t="s">
        <v>82</v>
      </c>
      <c r="C318" s="2" t="s">
        <v>83</v>
      </c>
      <c r="D318" s="2">
        <v>1</v>
      </c>
      <c r="E318" s="2">
        <v>702</v>
      </c>
      <c r="F318" s="2">
        <v>124</v>
      </c>
      <c r="G318" s="2">
        <v>176907</v>
      </c>
      <c r="H318" s="2">
        <v>8</v>
      </c>
      <c r="I318" s="2" t="s">
        <v>78</v>
      </c>
      <c r="J318" s="3">
        <v>0.176638176638177</v>
      </c>
      <c r="K318" s="21">
        <v>1426.66935483871</v>
      </c>
      <c r="L318" s="21">
        <v>22113.375</v>
      </c>
      <c r="M318" s="21">
        <v>87.75</v>
      </c>
      <c r="N318" s="2" t="s">
        <v>79</v>
      </c>
    </row>
    <row r="319" s="2" customFormat="1" spans="1:14">
      <c r="A319" s="20">
        <v>45885</v>
      </c>
      <c r="B319" s="2" t="s">
        <v>82</v>
      </c>
      <c r="C319" s="2" t="s">
        <v>83</v>
      </c>
      <c r="D319" s="2">
        <v>1</v>
      </c>
      <c r="E319" s="2">
        <v>1211</v>
      </c>
      <c r="F319" s="2">
        <v>191</v>
      </c>
      <c r="G319" s="2">
        <v>259203</v>
      </c>
      <c r="H319" s="2">
        <v>7</v>
      </c>
      <c r="I319" s="2" t="s">
        <v>81</v>
      </c>
      <c r="J319" s="3">
        <v>0.157720891824938</v>
      </c>
      <c r="K319" s="21">
        <v>1357.08376963351</v>
      </c>
      <c r="L319" s="21">
        <v>37029</v>
      </c>
      <c r="M319" s="21">
        <v>173</v>
      </c>
      <c r="N319" s="2" t="s">
        <v>80</v>
      </c>
    </row>
    <row r="320" s="2" customFormat="1" spans="1:14">
      <c r="A320" s="20">
        <v>45886</v>
      </c>
      <c r="B320" s="2" t="s">
        <v>82</v>
      </c>
      <c r="C320" s="2" t="s">
        <v>83</v>
      </c>
      <c r="D320" s="2">
        <v>1</v>
      </c>
      <c r="E320" s="2">
        <v>1215</v>
      </c>
      <c r="F320" s="2">
        <v>213</v>
      </c>
      <c r="G320" s="2">
        <v>253701</v>
      </c>
      <c r="H320" s="2">
        <v>8</v>
      </c>
      <c r="I320" s="2" t="s">
        <v>78</v>
      </c>
      <c r="J320" s="3">
        <v>0.175308641975309</v>
      </c>
      <c r="K320" s="21">
        <v>1191.08450704225</v>
      </c>
      <c r="L320" s="21">
        <v>31712.625</v>
      </c>
      <c r="M320" s="21">
        <v>151.875</v>
      </c>
      <c r="N320" s="2" t="s">
        <v>80</v>
      </c>
    </row>
    <row r="321" s="2" customFormat="1" spans="1:14">
      <c r="A321" s="20">
        <v>45887</v>
      </c>
      <c r="B321" s="2" t="s">
        <v>82</v>
      </c>
      <c r="C321" s="2" t="s">
        <v>83</v>
      </c>
      <c r="D321" s="2">
        <v>1</v>
      </c>
      <c r="E321" s="2">
        <v>677</v>
      </c>
      <c r="F321" s="2">
        <v>119</v>
      </c>
      <c r="G321" s="2">
        <v>201320</v>
      </c>
      <c r="H321" s="2">
        <v>6</v>
      </c>
      <c r="I321" s="2" t="s">
        <v>78</v>
      </c>
      <c r="J321" s="3">
        <v>0.175775480059084</v>
      </c>
      <c r="K321" s="21">
        <v>1691.76470588235</v>
      </c>
      <c r="L321" s="21">
        <v>33553.3333333333</v>
      </c>
      <c r="M321" s="21">
        <v>112.833333333333</v>
      </c>
      <c r="N321" s="2" t="s">
        <v>79</v>
      </c>
    </row>
    <row r="322" s="2" customFormat="1" spans="1:14">
      <c r="A322" s="20">
        <v>45888</v>
      </c>
      <c r="B322" s="2" t="s">
        <v>82</v>
      </c>
      <c r="C322" s="2" t="s">
        <v>83</v>
      </c>
      <c r="D322" s="2">
        <v>1</v>
      </c>
      <c r="E322" s="2">
        <v>774</v>
      </c>
      <c r="F322" s="2">
        <v>131</v>
      </c>
      <c r="G322" s="2">
        <v>157011</v>
      </c>
      <c r="H322" s="2">
        <v>7</v>
      </c>
      <c r="I322" s="2" t="s">
        <v>78</v>
      </c>
      <c r="J322" s="3">
        <v>0.169250645994832</v>
      </c>
      <c r="K322" s="21">
        <v>1198.5572519084</v>
      </c>
      <c r="L322" s="21">
        <v>22430.1428571429</v>
      </c>
      <c r="M322" s="21">
        <v>110.571428571429</v>
      </c>
      <c r="N322" s="2" t="s">
        <v>79</v>
      </c>
    </row>
    <row r="323" s="2" customFormat="1" spans="1:14">
      <c r="A323" s="20">
        <v>45889</v>
      </c>
      <c r="B323" s="2" t="s">
        <v>82</v>
      </c>
      <c r="C323" s="2" t="s">
        <v>83</v>
      </c>
      <c r="D323" s="2">
        <v>1</v>
      </c>
      <c r="E323" s="2">
        <v>640</v>
      </c>
      <c r="F323" s="2">
        <v>112</v>
      </c>
      <c r="G323" s="2">
        <v>183976</v>
      </c>
      <c r="H323" s="2">
        <v>5</v>
      </c>
      <c r="I323" s="2" t="s">
        <v>78</v>
      </c>
      <c r="J323" s="3">
        <v>0.175</v>
      </c>
      <c r="K323" s="21">
        <v>1642.64285714286</v>
      </c>
      <c r="L323" s="21">
        <v>36795.2</v>
      </c>
      <c r="M323" s="21">
        <v>128</v>
      </c>
      <c r="N323" s="2" t="s">
        <v>79</v>
      </c>
    </row>
    <row r="324" s="2" customFormat="1" spans="1:14">
      <c r="A324" s="20">
        <v>45890</v>
      </c>
      <c r="B324" s="2" t="s">
        <v>82</v>
      </c>
      <c r="C324" s="2" t="s">
        <v>83</v>
      </c>
      <c r="D324" s="2">
        <v>1</v>
      </c>
      <c r="E324" s="2">
        <v>738</v>
      </c>
      <c r="F324" s="2">
        <v>114</v>
      </c>
      <c r="G324" s="2">
        <v>162151</v>
      </c>
      <c r="H324" s="2">
        <v>5</v>
      </c>
      <c r="I324" s="2" t="s">
        <v>78</v>
      </c>
      <c r="J324" s="3">
        <v>0.154471544715447</v>
      </c>
      <c r="K324" s="21">
        <v>1422.37719298246</v>
      </c>
      <c r="L324" s="21">
        <v>32430.2</v>
      </c>
      <c r="M324" s="21">
        <v>147.6</v>
      </c>
      <c r="N324" s="2" t="s">
        <v>79</v>
      </c>
    </row>
    <row r="325" s="2" customFormat="1" spans="1:14">
      <c r="A325" s="20">
        <v>45891</v>
      </c>
      <c r="B325" s="2" t="s">
        <v>82</v>
      </c>
      <c r="C325" s="2" t="s">
        <v>83</v>
      </c>
      <c r="D325" s="2">
        <v>1</v>
      </c>
      <c r="E325" s="2">
        <v>757</v>
      </c>
      <c r="F325" s="2">
        <v>129</v>
      </c>
      <c r="G325" s="2">
        <v>145482</v>
      </c>
      <c r="H325" s="2">
        <v>4</v>
      </c>
      <c r="I325" s="2" t="s">
        <v>81</v>
      </c>
      <c r="J325" s="3">
        <v>0.170409511228534</v>
      </c>
      <c r="K325" s="21">
        <v>1127.76744186046</v>
      </c>
      <c r="L325" s="21">
        <v>36370.5</v>
      </c>
      <c r="M325" s="21">
        <v>189.25</v>
      </c>
      <c r="N325" s="2" t="s">
        <v>79</v>
      </c>
    </row>
    <row r="326" s="2" customFormat="1" spans="1:14">
      <c r="A326" s="20">
        <v>45892</v>
      </c>
      <c r="B326" s="2" t="s">
        <v>82</v>
      </c>
      <c r="C326" s="2" t="s">
        <v>83</v>
      </c>
      <c r="D326" s="2">
        <v>1</v>
      </c>
      <c r="E326" s="2">
        <v>1156</v>
      </c>
      <c r="F326" s="2">
        <v>191</v>
      </c>
      <c r="G326" s="2">
        <v>210258</v>
      </c>
      <c r="H326" s="2">
        <v>9</v>
      </c>
      <c r="I326" s="2" t="s">
        <v>78</v>
      </c>
      <c r="J326" s="3">
        <v>0.16522491349481</v>
      </c>
      <c r="K326" s="21">
        <v>1100.82722513089</v>
      </c>
      <c r="L326" s="21">
        <v>23362</v>
      </c>
      <c r="M326" s="21">
        <v>128.444444444445</v>
      </c>
      <c r="N326" s="2" t="s">
        <v>80</v>
      </c>
    </row>
    <row r="327" s="2" customFormat="1" spans="1:14">
      <c r="A327" s="20">
        <v>45893</v>
      </c>
      <c r="B327" s="2" t="s">
        <v>82</v>
      </c>
      <c r="C327" s="2" t="s">
        <v>83</v>
      </c>
      <c r="D327" s="2">
        <v>1</v>
      </c>
      <c r="E327" s="2">
        <v>852</v>
      </c>
      <c r="F327" s="2">
        <v>142</v>
      </c>
      <c r="G327" s="2">
        <v>208584</v>
      </c>
      <c r="H327" s="2">
        <v>9</v>
      </c>
      <c r="I327" s="2" t="s">
        <v>81</v>
      </c>
      <c r="J327" s="3">
        <v>0.166666666666667</v>
      </c>
      <c r="K327" s="21">
        <v>1468.9014084507</v>
      </c>
      <c r="L327" s="21">
        <v>23176</v>
      </c>
      <c r="M327" s="21">
        <v>94.6666666666667</v>
      </c>
      <c r="N327" s="2" t="s">
        <v>80</v>
      </c>
    </row>
    <row r="328" s="2" customFormat="1" spans="1:14">
      <c r="A328" s="20">
        <v>45894</v>
      </c>
      <c r="B328" s="2" t="s">
        <v>82</v>
      </c>
      <c r="C328" s="2" t="s">
        <v>83</v>
      </c>
      <c r="D328" s="2">
        <v>1</v>
      </c>
      <c r="E328" s="2">
        <v>885</v>
      </c>
      <c r="F328" s="2">
        <v>141</v>
      </c>
      <c r="G328" s="2">
        <v>199894</v>
      </c>
      <c r="H328" s="2">
        <v>7</v>
      </c>
      <c r="I328" s="2" t="s">
        <v>78</v>
      </c>
      <c r="J328" s="3">
        <v>0.159322033898305</v>
      </c>
      <c r="K328" s="21">
        <v>1417.68794326241</v>
      </c>
      <c r="L328" s="21">
        <v>28556.2857142857</v>
      </c>
      <c r="M328" s="21">
        <v>126.428571428571</v>
      </c>
      <c r="N328" s="2" t="s">
        <v>79</v>
      </c>
    </row>
    <row r="329" s="2" customFormat="1" spans="1:14">
      <c r="A329" s="20">
        <v>45895</v>
      </c>
      <c r="B329" s="2" t="s">
        <v>82</v>
      </c>
      <c r="C329" s="2" t="s">
        <v>83</v>
      </c>
      <c r="D329" s="2">
        <v>1</v>
      </c>
      <c r="E329" s="2">
        <v>802</v>
      </c>
      <c r="F329" s="2">
        <v>138</v>
      </c>
      <c r="G329" s="2">
        <v>210257</v>
      </c>
      <c r="H329" s="2">
        <v>7</v>
      </c>
      <c r="I329" s="2" t="s">
        <v>78</v>
      </c>
      <c r="J329" s="3">
        <v>0.172069825436409</v>
      </c>
      <c r="K329" s="21">
        <v>1523.60144927536</v>
      </c>
      <c r="L329" s="21">
        <v>30036.7142857143</v>
      </c>
      <c r="M329" s="21">
        <v>114.571428571429</v>
      </c>
      <c r="N329" s="2" t="s">
        <v>79</v>
      </c>
    </row>
    <row r="330" s="2" customFormat="1" spans="1:14">
      <c r="A330" s="20">
        <v>45896</v>
      </c>
      <c r="B330" s="2" t="s">
        <v>82</v>
      </c>
      <c r="C330" s="2" t="s">
        <v>83</v>
      </c>
      <c r="D330" s="2">
        <v>1</v>
      </c>
      <c r="E330" s="2">
        <v>700</v>
      </c>
      <c r="F330" s="2">
        <v>119</v>
      </c>
      <c r="G330" s="2">
        <v>151322</v>
      </c>
      <c r="H330" s="2">
        <v>6</v>
      </c>
      <c r="I330" s="2" t="s">
        <v>78</v>
      </c>
      <c r="J330" s="3">
        <v>0.17</v>
      </c>
      <c r="K330" s="21">
        <v>1271.61344537815</v>
      </c>
      <c r="L330" s="21">
        <v>25220.3333333333</v>
      </c>
      <c r="M330" s="21">
        <v>116.666666666667</v>
      </c>
      <c r="N330" s="2" t="s">
        <v>79</v>
      </c>
    </row>
    <row r="331" s="2" customFormat="1" spans="1:14">
      <c r="A331" s="20">
        <v>45897</v>
      </c>
      <c r="B331" s="2" t="s">
        <v>82</v>
      </c>
      <c r="C331" s="2" t="s">
        <v>83</v>
      </c>
      <c r="D331" s="2">
        <v>1</v>
      </c>
      <c r="E331" s="2">
        <v>876</v>
      </c>
      <c r="F331" s="2">
        <v>153</v>
      </c>
      <c r="G331" s="2">
        <v>168675</v>
      </c>
      <c r="H331" s="2">
        <v>7</v>
      </c>
      <c r="I331" s="2" t="s">
        <v>81</v>
      </c>
      <c r="J331" s="3">
        <v>0.174657534246575</v>
      </c>
      <c r="K331" s="21">
        <v>1102.45098039216</v>
      </c>
      <c r="L331" s="21">
        <v>24096.4285714286</v>
      </c>
      <c r="M331" s="21">
        <v>125.142857142857</v>
      </c>
      <c r="N331" s="2" t="s">
        <v>79</v>
      </c>
    </row>
    <row r="332" s="2" customFormat="1" spans="1:14">
      <c r="A332" s="20">
        <v>45898</v>
      </c>
      <c r="B332" s="2" t="s">
        <v>82</v>
      </c>
      <c r="C332" s="2" t="s">
        <v>83</v>
      </c>
      <c r="D332" s="2">
        <v>1</v>
      </c>
      <c r="E332" s="2">
        <v>779</v>
      </c>
      <c r="F332" s="2">
        <v>139</v>
      </c>
      <c r="G332" s="2">
        <v>163465</v>
      </c>
      <c r="H332" s="2">
        <v>8</v>
      </c>
      <c r="I332" s="2" t="s">
        <v>78</v>
      </c>
      <c r="J332" s="3">
        <v>0.178433889602054</v>
      </c>
      <c r="K332" s="21">
        <v>1176.0071942446</v>
      </c>
      <c r="L332" s="21">
        <v>20433.125</v>
      </c>
      <c r="M332" s="21">
        <v>97.375</v>
      </c>
      <c r="N332" s="2" t="s">
        <v>79</v>
      </c>
    </row>
    <row r="333" s="2" customFormat="1" spans="1:14">
      <c r="A333" s="20">
        <v>45899</v>
      </c>
      <c r="B333" s="2" t="s">
        <v>82</v>
      </c>
      <c r="C333" s="2" t="s">
        <v>83</v>
      </c>
      <c r="D333" s="2">
        <v>1</v>
      </c>
      <c r="E333" s="2">
        <v>891</v>
      </c>
      <c r="F333" s="2">
        <v>161</v>
      </c>
      <c r="G333" s="2">
        <v>273335</v>
      </c>
      <c r="H333" s="2">
        <v>7</v>
      </c>
      <c r="I333" s="2" t="s">
        <v>81</v>
      </c>
      <c r="J333" s="3">
        <v>0.180695847362514</v>
      </c>
      <c r="K333" s="21">
        <v>1697.73291925466</v>
      </c>
      <c r="L333" s="21">
        <v>39047.8571428571</v>
      </c>
      <c r="M333" s="21">
        <v>127.285714285714</v>
      </c>
      <c r="N333" s="2" t="s">
        <v>80</v>
      </c>
    </row>
    <row r="334" s="2" customFormat="1" spans="1:14">
      <c r="A334" s="20">
        <v>45900</v>
      </c>
      <c r="B334" s="2" t="s">
        <v>82</v>
      </c>
      <c r="C334" s="2" t="s">
        <v>83</v>
      </c>
      <c r="D334" s="2">
        <v>1</v>
      </c>
      <c r="E334" s="2">
        <v>853</v>
      </c>
      <c r="F334" s="2">
        <v>148</v>
      </c>
      <c r="G334" s="2">
        <v>226088</v>
      </c>
      <c r="H334" s="2">
        <v>6</v>
      </c>
      <c r="I334" s="2" t="s">
        <v>78</v>
      </c>
      <c r="J334" s="3">
        <v>0.173505275498241</v>
      </c>
      <c r="K334" s="21">
        <v>1527.62162162162</v>
      </c>
      <c r="L334" s="21">
        <v>37681.3333333333</v>
      </c>
      <c r="M334" s="21">
        <v>142.166666666667</v>
      </c>
      <c r="N334" s="2" t="s">
        <v>80</v>
      </c>
    </row>
    <row r="335" s="2" customFormat="1" spans="1:14">
      <c r="A335" s="20">
        <v>45901</v>
      </c>
      <c r="B335" s="2" t="s">
        <v>82</v>
      </c>
      <c r="C335" s="2" t="s">
        <v>83</v>
      </c>
      <c r="D335" s="2">
        <v>1</v>
      </c>
      <c r="E335" s="2">
        <v>701</v>
      </c>
      <c r="F335" s="2">
        <v>108</v>
      </c>
      <c r="G335" s="2">
        <v>178080</v>
      </c>
      <c r="H335" s="2">
        <v>5</v>
      </c>
      <c r="I335" s="2" t="s">
        <v>78</v>
      </c>
      <c r="J335" s="3">
        <v>0.154065620542083</v>
      </c>
      <c r="K335" s="21">
        <v>1648.88888888889</v>
      </c>
      <c r="L335" s="21">
        <v>35616</v>
      </c>
      <c r="M335" s="21">
        <v>140.2</v>
      </c>
      <c r="N335" s="2" t="s">
        <v>79</v>
      </c>
    </row>
    <row r="336" s="2" customFormat="1" spans="1:14">
      <c r="A336" s="20">
        <v>45902</v>
      </c>
      <c r="B336" s="2" t="s">
        <v>82</v>
      </c>
      <c r="C336" s="2" t="s">
        <v>83</v>
      </c>
      <c r="D336" s="2">
        <v>1</v>
      </c>
      <c r="E336" s="2">
        <v>830</v>
      </c>
      <c r="F336" s="2">
        <v>123</v>
      </c>
      <c r="G336" s="2">
        <v>194776</v>
      </c>
      <c r="H336" s="2">
        <v>6</v>
      </c>
      <c r="I336" s="2" t="s">
        <v>78</v>
      </c>
      <c r="J336" s="3">
        <v>0.148192771084337</v>
      </c>
      <c r="K336" s="21">
        <v>1583.54471544715</v>
      </c>
      <c r="L336" s="21">
        <v>32462.6666666667</v>
      </c>
      <c r="M336" s="21">
        <v>138.333333333333</v>
      </c>
      <c r="N336" s="2" t="s">
        <v>79</v>
      </c>
    </row>
    <row r="337" s="2" customFormat="1" spans="1:14">
      <c r="A337" s="20">
        <v>45903</v>
      </c>
      <c r="B337" s="2" t="s">
        <v>82</v>
      </c>
      <c r="C337" s="2" t="s">
        <v>83</v>
      </c>
      <c r="D337" s="2">
        <v>1</v>
      </c>
      <c r="E337" s="2">
        <v>721</v>
      </c>
      <c r="F337" s="2">
        <v>117</v>
      </c>
      <c r="G337" s="2">
        <v>194501</v>
      </c>
      <c r="H337" s="2">
        <v>6</v>
      </c>
      <c r="I337" s="2" t="s">
        <v>78</v>
      </c>
      <c r="J337" s="3">
        <v>0.162274618585298</v>
      </c>
      <c r="K337" s="21">
        <v>1662.40170940171</v>
      </c>
      <c r="L337" s="21">
        <v>32416.8333333333</v>
      </c>
      <c r="M337" s="21">
        <v>120.166666666667</v>
      </c>
      <c r="N337" s="2" t="s">
        <v>79</v>
      </c>
    </row>
    <row r="338" s="2" customFormat="1" spans="1:14">
      <c r="A338" s="20">
        <v>45904</v>
      </c>
      <c r="B338" s="2" t="s">
        <v>82</v>
      </c>
      <c r="C338" s="2" t="s">
        <v>83</v>
      </c>
      <c r="D338" s="2">
        <v>1</v>
      </c>
      <c r="E338" s="2">
        <v>744</v>
      </c>
      <c r="F338" s="2">
        <v>135</v>
      </c>
      <c r="G338" s="2">
        <v>205759</v>
      </c>
      <c r="H338" s="2">
        <v>7</v>
      </c>
      <c r="I338" s="2" t="s">
        <v>81</v>
      </c>
      <c r="J338" s="3">
        <v>0.181451612903226</v>
      </c>
      <c r="K338" s="21">
        <v>1524.14074074074</v>
      </c>
      <c r="L338" s="21">
        <v>29394.1428571429</v>
      </c>
      <c r="M338" s="21">
        <v>106.285714285714</v>
      </c>
      <c r="N338" s="2" t="s">
        <v>79</v>
      </c>
    </row>
    <row r="339" s="2" customFormat="1" spans="1:14">
      <c r="A339" s="20">
        <v>45905</v>
      </c>
      <c r="B339" s="2" t="s">
        <v>82</v>
      </c>
      <c r="C339" s="2" t="s">
        <v>83</v>
      </c>
      <c r="D339" s="2">
        <v>1</v>
      </c>
      <c r="E339" s="2">
        <v>773</v>
      </c>
      <c r="F339" s="2">
        <v>133</v>
      </c>
      <c r="G339" s="2">
        <v>162210</v>
      </c>
      <c r="H339" s="2">
        <v>4</v>
      </c>
      <c r="I339" s="2" t="s">
        <v>78</v>
      </c>
      <c r="J339" s="3">
        <v>0.172056921086675</v>
      </c>
      <c r="K339" s="21">
        <v>1219.62406015038</v>
      </c>
      <c r="L339" s="21">
        <v>40552.5</v>
      </c>
      <c r="M339" s="21">
        <v>193.25</v>
      </c>
      <c r="N339" s="2" t="s">
        <v>79</v>
      </c>
    </row>
    <row r="340" s="2" customFormat="1" spans="1:14">
      <c r="A340" s="20">
        <v>45906</v>
      </c>
      <c r="B340" s="2" t="s">
        <v>82</v>
      </c>
      <c r="C340" s="2" t="s">
        <v>83</v>
      </c>
      <c r="D340" s="2">
        <v>1</v>
      </c>
      <c r="E340" s="2">
        <v>1176</v>
      </c>
      <c r="F340" s="2">
        <v>208</v>
      </c>
      <c r="G340" s="2">
        <v>294945</v>
      </c>
      <c r="H340" s="2">
        <v>9</v>
      </c>
      <c r="I340" s="2" t="s">
        <v>81</v>
      </c>
      <c r="J340" s="3">
        <v>0.17687074829932</v>
      </c>
      <c r="K340" s="21">
        <v>1418.00480769231</v>
      </c>
      <c r="L340" s="21">
        <v>32771.6666666667</v>
      </c>
      <c r="M340" s="21">
        <v>130.666666666667</v>
      </c>
      <c r="N340" s="2" t="s">
        <v>80</v>
      </c>
    </row>
    <row r="341" s="2" customFormat="1" spans="1:14">
      <c r="A341" s="20">
        <v>45907</v>
      </c>
      <c r="B341" s="2" t="s">
        <v>82</v>
      </c>
      <c r="C341" s="2" t="s">
        <v>83</v>
      </c>
      <c r="D341" s="2">
        <v>1</v>
      </c>
      <c r="E341" s="2">
        <v>903</v>
      </c>
      <c r="F341" s="2">
        <v>136</v>
      </c>
      <c r="G341" s="2">
        <v>151353</v>
      </c>
      <c r="H341" s="2">
        <v>5</v>
      </c>
      <c r="I341" s="2" t="s">
        <v>78</v>
      </c>
      <c r="J341" s="3">
        <v>0.150609080841639</v>
      </c>
      <c r="K341" s="21">
        <v>1112.88970588235</v>
      </c>
      <c r="L341" s="21">
        <v>30270.6</v>
      </c>
      <c r="M341" s="21">
        <v>180.6</v>
      </c>
      <c r="N341" s="2" t="s">
        <v>80</v>
      </c>
    </row>
    <row r="342" s="2" customFormat="1" spans="1:14">
      <c r="A342" s="20">
        <v>45908</v>
      </c>
      <c r="B342" s="2" t="s">
        <v>82</v>
      </c>
      <c r="C342" s="2" t="s">
        <v>83</v>
      </c>
      <c r="D342" s="2">
        <v>1</v>
      </c>
      <c r="E342" s="2">
        <v>772</v>
      </c>
      <c r="F342" s="2">
        <v>129</v>
      </c>
      <c r="G342" s="2">
        <v>151764</v>
      </c>
      <c r="H342" s="2">
        <v>9</v>
      </c>
      <c r="I342" s="2" t="s">
        <v>78</v>
      </c>
      <c r="J342" s="3">
        <v>0.167098445595855</v>
      </c>
      <c r="K342" s="21">
        <v>1176.46511627907</v>
      </c>
      <c r="L342" s="21">
        <v>16862.6666666667</v>
      </c>
      <c r="M342" s="21">
        <v>85.7777777777778</v>
      </c>
      <c r="N342" s="2" t="s">
        <v>79</v>
      </c>
    </row>
    <row r="343" s="2" customFormat="1" spans="1:14">
      <c r="A343" s="20">
        <v>45909</v>
      </c>
      <c r="B343" s="2" t="s">
        <v>82</v>
      </c>
      <c r="C343" s="2" t="s">
        <v>83</v>
      </c>
      <c r="D343" s="2">
        <v>1</v>
      </c>
      <c r="E343" s="2">
        <v>573</v>
      </c>
      <c r="F343" s="2">
        <v>94</v>
      </c>
      <c r="G343" s="2">
        <v>146873</v>
      </c>
      <c r="H343" s="2">
        <v>6</v>
      </c>
      <c r="I343" s="2" t="s">
        <v>78</v>
      </c>
      <c r="J343" s="3">
        <v>0.164048865619546</v>
      </c>
      <c r="K343" s="21">
        <v>1562.47872340426</v>
      </c>
      <c r="L343" s="21">
        <v>24478.8333333333</v>
      </c>
      <c r="M343" s="21">
        <v>95.5</v>
      </c>
      <c r="N343" s="2" t="s">
        <v>79</v>
      </c>
    </row>
    <row r="344" s="2" customFormat="1" spans="1:14">
      <c r="A344" s="20">
        <v>45910</v>
      </c>
      <c r="B344" s="2" t="s">
        <v>82</v>
      </c>
      <c r="C344" s="2" t="s">
        <v>83</v>
      </c>
      <c r="D344" s="2">
        <v>1</v>
      </c>
      <c r="E344" s="2">
        <v>799</v>
      </c>
      <c r="F344" s="2">
        <v>132</v>
      </c>
      <c r="G344" s="2">
        <v>157265</v>
      </c>
      <c r="H344" s="2">
        <v>5</v>
      </c>
      <c r="I344" s="2" t="s">
        <v>78</v>
      </c>
      <c r="J344" s="3">
        <v>0.165206508135169</v>
      </c>
      <c r="K344" s="21">
        <v>1191.40151515152</v>
      </c>
      <c r="L344" s="21">
        <v>31453</v>
      </c>
      <c r="M344" s="21">
        <v>159.8</v>
      </c>
      <c r="N344" s="2" t="s">
        <v>79</v>
      </c>
    </row>
    <row r="345" s="2" customFormat="1" spans="1:14">
      <c r="A345" s="20">
        <v>45911</v>
      </c>
      <c r="B345" s="2" t="s">
        <v>82</v>
      </c>
      <c r="C345" s="2" t="s">
        <v>83</v>
      </c>
      <c r="D345" s="2">
        <v>1</v>
      </c>
      <c r="E345" s="2">
        <v>719</v>
      </c>
      <c r="F345" s="2">
        <v>113</v>
      </c>
      <c r="G345" s="2">
        <v>146235</v>
      </c>
      <c r="H345" s="2">
        <v>5</v>
      </c>
      <c r="I345" s="2" t="s">
        <v>81</v>
      </c>
      <c r="J345" s="3">
        <v>0.157162726008345</v>
      </c>
      <c r="K345" s="21">
        <v>1294.11504424779</v>
      </c>
      <c r="L345" s="21">
        <v>29247</v>
      </c>
      <c r="M345" s="21">
        <v>143.8</v>
      </c>
      <c r="N345" s="2" t="s">
        <v>79</v>
      </c>
    </row>
    <row r="346" s="2" customFormat="1" spans="1:14">
      <c r="A346" s="20">
        <v>45912</v>
      </c>
      <c r="B346" s="2" t="s">
        <v>82</v>
      </c>
      <c r="C346" s="2" t="s">
        <v>83</v>
      </c>
      <c r="D346" s="2">
        <v>1</v>
      </c>
      <c r="E346" s="2">
        <v>692</v>
      </c>
      <c r="F346" s="2">
        <v>108</v>
      </c>
      <c r="G346" s="2">
        <v>174179</v>
      </c>
      <c r="H346" s="2">
        <v>4</v>
      </c>
      <c r="I346" s="2" t="s">
        <v>78</v>
      </c>
      <c r="J346" s="3">
        <v>0.15606936416185</v>
      </c>
      <c r="K346" s="21">
        <v>1612.76851851852</v>
      </c>
      <c r="L346" s="21">
        <v>43544.75</v>
      </c>
      <c r="M346" s="21">
        <v>173</v>
      </c>
      <c r="N346" s="2" t="s">
        <v>79</v>
      </c>
    </row>
    <row r="347" s="2" customFormat="1" spans="1:14">
      <c r="A347" s="20">
        <v>45913</v>
      </c>
      <c r="B347" s="2" t="s">
        <v>82</v>
      </c>
      <c r="C347" s="2" t="s">
        <v>83</v>
      </c>
      <c r="D347" s="2">
        <v>1</v>
      </c>
      <c r="E347" s="2">
        <v>1034</v>
      </c>
      <c r="F347" s="2">
        <v>178</v>
      </c>
      <c r="G347" s="2">
        <v>254639</v>
      </c>
      <c r="H347" s="2">
        <v>8</v>
      </c>
      <c r="I347" s="2" t="s">
        <v>78</v>
      </c>
      <c r="J347" s="3">
        <v>0.172147001934236</v>
      </c>
      <c r="K347" s="21">
        <v>1430.55617977528</v>
      </c>
      <c r="L347" s="21">
        <v>31829.875</v>
      </c>
      <c r="M347" s="21">
        <v>129.25</v>
      </c>
      <c r="N347" s="2" t="s">
        <v>80</v>
      </c>
    </row>
    <row r="348" s="2" customFormat="1" spans="1:14">
      <c r="A348" s="20">
        <v>45914</v>
      </c>
      <c r="B348" s="2" t="s">
        <v>82</v>
      </c>
      <c r="C348" s="2" t="s">
        <v>83</v>
      </c>
      <c r="D348" s="2">
        <v>1</v>
      </c>
      <c r="E348" s="2">
        <v>1322</v>
      </c>
      <c r="F348" s="2">
        <v>228</v>
      </c>
      <c r="G348" s="2">
        <v>307066</v>
      </c>
      <c r="H348" s="2">
        <v>8</v>
      </c>
      <c r="I348" s="2" t="s">
        <v>81</v>
      </c>
      <c r="J348" s="3">
        <v>0.172465960665658</v>
      </c>
      <c r="K348" s="21">
        <v>1346.78070175439</v>
      </c>
      <c r="L348" s="21">
        <v>38383.25</v>
      </c>
      <c r="M348" s="21">
        <v>165.25</v>
      </c>
      <c r="N348" s="2" t="s">
        <v>80</v>
      </c>
    </row>
    <row r="349" s="2" customFormat="1" spans="1:14">
      <c r="A349" s="20">
        <v>45915</v>
      </c>
      <c r="B349" s="2" t="s">
        <v>82</v>
      </c>
      <c r="C349" s="2" t="s">
        <v>83</v>
      </c>
      <c r="D349" s="2">
        <v>1</v>
      </c>
      <c r="E349" s="2">
        <v>552</v>
      </c>
      <c r="F349" s="2">
        <v>90</v>
      </c>
      <c r="G349" s="2">
        <v>114591</v>
      </c>
      <c r="H349" s="2">
        <v>4</v>
      </c>
      <c r="I349" s="2" t="s">
        <v>78</v>
      </c>
      <c r="J349" s="3">
        <v>0.16304347826087</v>
      </c>
      <c r="K349" s="21">
        <v>1273.23333333333</v>
      </c>
      <c r="L349" s="21">
        <v>28647.75</v>
      </c>
      <c r="M349" s="21">
        <v>138</v>
      </c>
      <c r="N349" s="2" t="s">
        <v>79</v>
      </c>
    </row>
    <row r="350" s="2" customFormat="1" spans="1:14">
      <c r="A350" s="20">
        <v>45916</v>
      </c>
      <c r="B350" s="2" t="s">
        <v>82</v>
      </c>
      <c r="C350" s="2" t="s">
        <v>83</v>
      </c>
      <c r="D350" s="2">
        <v>1</v>
      </c>
      <c r="E350" s="2">
        <v>575</v>
      </c>
      <c r="F350" s="2">
        <v>103</v>
      </c>
      <c r="G350" s="2">
        <v>121356</v>
      </c>
      <c r="H350" s="2">
        <v>6</v>
      </c>
      <c r="I350" s="2" t="s">
        <v>78</v>
      </c>
      <c r="J350" s="3">
        <v>0.179130434782609</v>
      </c>
      <c r="K350" s="21">
        <v>1178.21359223301</v>
      </c>
      <c r="L350" s="21">
        <v>20226</v>
      </c>
      <c r="M350" s="21">
        <v>95.8333333333333</v>
      </c>
      <c r="N350" s="2" t="s">
        <v>79</v>
      </c>
    </row>
    <row r="351" s="2" customFormat="1" spans="1:14">
      <c r="A351" s="20">
        <v>45917</v>
      </c>
      <c r="B351" s="2" t="s">
        <v>82</v>
      </c>
      <c r="C351" s="2" t="s">
        <v>83</v>
      </c>
      <c r="D351" s="2">
        <v>1</v>
      </c>
      <c r="E351" s="2">
        <v>570</v>
      </c>
      <c r="F351" s="2">
        <v>97</v>
      </c>
      <c r="G351" s="2">
        <v>111271</v>
      </c>
      <c r="H351" s="2">
        <v>7</v>
      </c>
      <c r="I351" s="2" t="s">
        <v>78</v>
      </c>
      <c r="J351" s="3">
        <v>0.170175438596491</v>
      </c>
      <c r="K351" s="21">
        <v>1147.12371134021</v>
      </c>
      <c r="L351" s="21">
        <v>15895.8571428571</v>
      </c>
      <c r="M351" s="21">
        <v>81.4285714285714</v>
      </c>
      <c r="N351" s="2" t="s">
        <v>79</v>
      </c>
    </row>
    <row r="352" s="2" customFormat="1" spans="1:14">
      <c r="A352" s="20">
        <v>45918</v>
      </c>
      <c r="B352" s="2" t="s">
        <v>82</v>
      </c>
      <c r="C352" s="2" t="s">
        <v>83</v>
      </c>
      <c r="D352" s="2">
        <v>1</v>
      </c>
      <c r="E352" s="2">
        <v>751</v>
      </c>
      <c r="F352" s="2">
        <v>131</v>
      </c>
      <c r="G352" s="2">
        <v>220718</v>
      </c>
      <c r="H352" s="2">
        <v>7</v>
      </c>
      <c r="I352" s="2" t="s">
        <v>81</v>
      </c>
      <c r="J352" s="3">
        <v>0.174434087882823</v>
      </c>
      <c r="K352" s="21">
        <v>1684.87022900763</v>
      </c>
      <c r="L352" s="21">
        <v>31531.1428571429</v>
      </c>
      <c r="M352" s="21">
        <v>107.285714285714</v>
      </c>
      <c r="N352" s="2" t="s">
        <v>79</v>
      </c>
    </row>
    <row r="353" s="2" customFormat="1" spans="1:14">
      <c r="A353" s="20">
        <v>45919</v>
      </c>
      <c r="B353" s="2" t="s">
        <v>82</v>
      </c>
      <c r="C353" s="2" t="s">
        <v>83</v>
      </c>
      <c r="D353" s="2">
        <v>1</v>
      </c>
      <c r="E353" s="2">
        <v>884</v>
      </c>
      <c r="F353" s="2">
        <v>149</v>
      </c>
      <c r="G353" s="2">
        <v>178346</v>
      </c>
      <c r="H353" s="2">
        <v>4</v>
      </c>
      <c r="I353" s="2" t="s">
        <v>78</v>
      </c>
      <c r="J353" s="3">
        <v>0.168552036199095</v>
      </c>
      <c r="K353" s="21">
        <v>1196.95302013423</v>
      </c>
      <c r="L353" s="21">
        <v>44586.5</v>
      </c>
      <c r="M353" s="21">
        <v>221</v>
      </c>
      <c r="N353" s="2" t="s">
        <v>79</v>
      </c>
    </row>
    <row r="354" s="2" customFormat="1" spans="1:14">
      <c r="A354" s="20">
        <v>45920</v>
      </c>
      <c r="B354" s="2" t="s">
        <v>82</v>
      </c>
      <c r="C354" s="2" t="s">
        <v>83</v>
      </c>
      <c r="D354" s="2">
        <v>1</v>
      </c>
      <c r="E354" s="2">
        <v>1063</v>
      </c>
      <c r="F354" s="2">
        <v>165</v>
      </c>
      <c r="G354" s="2">
        <v>251717</v>
      </c>
      <c r="H354" s="2">
        <v>5</v>
      </c>
      <c r="I354" s="2" t="s">
        <v>78</v>
      </c>
      <c r="J354" s="3">
        <v>0.1552210724365</v>
      </c>
      <c r="K354" s="21">
        <v>1525.55757575758</v>
      </c>
      <c r="L354" s="21">
        <v>50343.4</v>
      </c>
      <c r="M354" s="21">
        <v>212.6</v>
      </c>
      <c r="N354" s="2" t="s">
        <v>80</v>
      </c>
    </row>
    <row r="355" s="2" customFormat="1" spans="1:14">
      <c r="A355" s="20">
        <v>45921</v>
      </c>
      <c r="B355" s="2" t="s">
        <v>82</v>
      </c>
      <c r="C355" s="2" t="s">
        <v>83</v>
      </c>
      <c r="D355" s="2">
        <v>1</v>
      </c>
      <c r="E355" s="2">
        <v>915</v>
      </c>
      <c r="F355" s="2">
        <v>165</v>
      </c>
      <c r="G355" s="2">
        <v>226922</v>
      </c>
      <c r="H355" s="2">
        <v>8</v>
      </c>
      <c r="I355" s="2" t="s">
        <v>78</v>
      </c>
      <c r="J355" s="3">
        <v>0.180327868852459</v>
      </c>
      <c r="K355" s="21">
        <v>1375.28484848485</v>
      </c>
      <c r="L355" s="21">
        <v>28365.25</v>
      </c>
      <c r="M355" s="21">
        <v>114.375</v>
      </c>
      <c r="N355" s="2" t="s">
        <v>80</v>
      </c>
    </row>
    <row r="356" s="2" customFormat="1" spans="1:14">
      <c r="A356" s="20">
        <v>45922</v>
      </c>
      <c r="B356" s="2" t="s">
        <v>82</v>
      </c>
      <c r="C356" s="2" t="s">
        <v>83</v>
      </c>
      <c r="D356" s="2">
        <v>1</v>
      </c>
      <c r="E356" s="2">
        <v>693</v>
      </c>
      <c r="F356" s="2">
        <v>113</v>
      </c>
      <c r="G356" s="2">
        <v>189331</v>
      </c>
      <c r="H356" s="2">
        <v>7</v>
      </c>
      <c r="I356" s="2" t="s">
        <v>78</v>
      </c>
      <c r="J356" s="3">
        <v>0.163059163059163</v>
      </c>
      <c r="K356" s="21">
        <v>1675.49557522124</v>
      </c>
      <c r="L356" s="21">
        <v>27047.2857142857</v>
      </c>
      <c r="M356" s="21">
        <v>99</v>
      </c>
      <c r="N356" s="2" t="s">
        <v>79</v>
      </c>
    </row>
    <row r="357" s="2" customFormat="1" spans="1:14">
      <c r="A357" s="20">
        <v>45923</v>
      </c>
      <c r="B357" s="2" t="s">
        <v>82</v>
      </c>
      <c r="C357" s="2" t="s">
        <v>83</v>
      </c>
      <c r="D357" s="2">
        <v>1</v>
      </c>
      <c r="E357" s="2">
        <v>798</v>
      </c>
      <c r="F357" s="2">
        <v>133</v>
      </c>
      <c r="G357" s="2">
        <v>201057</v>
      </c>
      <c r="H357" s="2">
        <v>9</v>
      </c>
      <c r="I357" s="2" t="s">
        <v>78</v>
      </c>
      <c r="J357" s="3">
        <v>0.166666666666667</v>
      </c>
      <c r="K357" s="21">
        <v>1511.70676691729</v>
      </c>
      <c r="L357" s="21">
        <v>22339.6666666667</v>
      </c>
      <c r="M357" s="21">
        <v>88.6666666666667</v>
      </c>
      <c r="N357" s="2" t="s">
        <v>79</v>
      </c>
    </row>
    <row r="358" s="2" customFormat="1" spans="1:14">
      <c r="A358" s="20">
        <v>45924</v>
      </c>
      <c r="B358" s="2" t="s">
        <v>82</v>
      </c>
      <c r="C358" s="2" t="s">
        <v>83</v>
      </c>
      <c r="D358" s="2">
        <v>1</v>
      </c>
      <c r="E358" s="2">
        <v>760</v>
      </c>
      <c r="F358" s="2">
        <v>133</v>
      </c>
      <c r="G358" s="2">
        <v>167999</v>
      </c>
      <c r="H358" s="2">
        <v>5</v>
      </c>
      <c r="I358" s="2" t="s">
        <v>78</v>
      </c>
      <c r="J358" s="3">
        <v>0.175</v>
      </c>
      <c r="K358" s="21">
        <v>1263.15037593985</v>
      </c>
      <c r="L358" s="21">
        <v>33599.8</v>
      </c>
      <c r="M358" s="21">
        <v>152</v>
      </c>
      <c r="N358" s="2" t="s">
        <v>79</v>
      </c>
    </row>
    <row r="359" s="2" customFormat="1" spans="1:14">
      <c r="A359" s="20">
        <v>45925</v>
      </c>
      <c r="B359" s="2" t="s">
        <v>82</v>
      </c>
      <c r="C359" s="2" t="s">
        <v>83</v>
      </c>
      <c r="D359" s="2">
        <v>1</v>
      </c>
      <c r="E359" s="2">
        <v>828</v>
      </c>
      <c r="F359" s="2">
        <v>144</v>
      </c>
      <c r="G359" s="2">
        <v>215391</v>
      </c>
      <c r="H359" s="2">
        <v>4</v>
      </c>
      <c r="I359" s="2" t="s">
        <v>78</v>
      </c>
      <c r="J359" s="3">
        <v>0.173913043478261</v>
      </c>
      <c r="K359" s="21">
        <v>1495.77083333333</v>
      </c>
      <c r="L359" s="21">
        <v>53847.75</v>
      </c>
      <c r="M359" s="21">
        <v>207</v>
      </c>
      <c r="N359" s="2" t="s">
        <v>79</v>
      </c>
    </row>
    <row r="360" s="2" customFormat="1" spans="1:14">
      <c r="A360" s="20">
        <v>45926</v>
      </c>
      <c r="B360" s="2" t="s">
        <v>82</v>
      </c>
      <c r="C360" s="2" t="s">
        <v>83</v>
      </c>
      <c r="D360" s="2">
        <v>1</v>
      </c>
      <c r="E360" s="2">
        <v>971</v>
      </c>
      <c r="F360" s="2">
        <v>170</v>
      </c>
      <c r="G360" s="2">
        <v>281899</v>
      </c>
      <c r="H360" s="2">
        <v>5</v>
      </c>
      <c r="I360" s="2" t="s">
        <v>78</v>
      </c>
      <c r="J360" s="3">
        <v>0.175077239958805</v>
      </c>
      <c r="K360" s="21">
        <v>1658.22941176471</v>
      </c>
      <c r="L360" s="21">
        <v>56379.8</v>
      </c>
      <c r="M360" s="21">
        <v>194.2</v>
      </c>
      <c r="N360" s="2" t="s">
        <v>79</v>
      </c>
    </row>
    <row r="361" s="2" customFormat="1" spans="1:14">
      <c r="A361" s="20">
        <v>45927</v>
      </c>
      <c r="B361" s="2" t="s">
        <v>82</v>
      </c>
      <c r="C361" s="2" t="s">
        <v>83</v>
      </c>
      <c r="D361" s="2">
        <v>1</v>
      </c>
      <c r="E361" s="2">
        <v>874</v>
      </c>
      <c r="F361" s="2">
        <v>161</v>
      </c>
      <c r="G361" s="2">
        <v>265806</v>
      </c>
      <c r="H361" s="2">
        <v>8</v>
      </c>
      <c r="I361" s="2" t="s">
        <v>81</v>
      </c>
      <c r="J361" s="3">
        <v>0.184210526315789</v>
      </c>
      <c r="K361" s="21">
        <v>1650.96894409938</v>
      </c>
      <c r="L361" s="21">
        <v>33225.75</v>
      </c>
      <c r="M361" s="21">
        <v>109.25</v>
      </c>
      <c r="N361" s="2" t="s">
        <v>80</v>
      </c>
    </row>
    <row r="362" s="2" customFormat="1" spans="1:14">
      <c r="A362" s="20">
        <v>45748</v>
      </c>
      <c r="B362" s="2" t="s">
        <v>84</v>
      </c>
      <c r="C362" s="2" t="s">
        <v>85</v>
      </c>
      <c r="D362" s="2">
        <v>2</v>
      </c>
      <c r="E362" s="2">
        <v>682</v>
      </c>
      <c r="F362" s="2">
        <v>135</v>
      </c>
      <c r="G362" s="2">
        <v>150493</v>
      </c>
      <c r="H362" s="2">
        <v>5</v>
      </c>
      <c r="I362" s="2" t="s">
        <v>78</v>
      </c>
      <c r="J362" s="3">
        <v>0.197947214076246</v>
      </c>
      <c r="K362" s="21">
        <v>1114.76296296296</v>
      </c>
      <c r="L362" s="21">
        <v>30098.6</v>
      </c>
      <c r="M362" s="21">
        <v>136.4</v>
      </c>
      <c r="N362" s="2" t="s">
        <v>79</v>
      </c>
    </row>
    <row r="363" s="2" customFormat="1" spans="1:14">
      <c r="A363" s="20">
        <v>45749</v>
      </c>
      <c r="B363" s="2" t="s">
        <v>84</v>
      </c>
      <c r="C363" s="2" t="s">
        <v>85</v>
      </c>
      <c r="D363" s="2">
        <v>2</v>
      </c>
      <c r="E363" s="2">
        <v>632</v>
      </c>
      <c r="F363" s="2">
        <v>127</v>
      </c>
      <c r="G363" s="2">
        <v>169540</v>
      </c>
      <c r="H363" s="2">
        <v>5</v>
      </c>
      <c r="I363" s="2" t="s">
        <v>78</v>
      </c>
      <c r="J363" s="3">
        <v>0.200949367088608</v>
      </c>
      <c r="K363" s="21">
        <v>1334.96062992126</v>
      </c>
      <c r="L363" s="21">
        <v>33908</v>
      </c>
      <c r="M363" s="21">
        <v>126.4</v>
      </c>
      <c r="N363" s="2" t="s">
        <v>79</v>
      </c>
    </row>
    <row r="364" s="2" customFormat="1" spans="1:14">
      <c r="A364" s="20">
        <v>45750</v>
      </c>
      <c r="B364" s="2" t="s">
        <v>84</v>
      </c>
      <c r="C364" s="2" t="s">
        <v>85</v>
      </c>
      <c r="D364" s="2">
        <v>2</v>
      </c>
      <c r="E364" s="2">
        <v>744</v>
      </c>
      <c r="F364" s="2">
        <v>152</v>
      </c>
      <c r="G364" s="2">
        <v>206790</v>
      </c>
      <c r="H364" s="2">
        <v>8</v>
      </c>
      <c r="I364" s="2" t="s">
        <v>78</v>
      </c>
      <c r="J364" s="3">
        <v>0.204301075268817</v>
      </c>
      <c r="K364" s="21">
        <v>1360.46052631579</v>
      </c>
      <c r="L364" s="21">
        <v>25848.75</v>
      </c>
      <c r="M364" s="21">
        <v>93</v>
      </c>
      <c r="N364" s="2" t="s">
        <v>79</v>
      </c>
    </row>
    <row r="365" s="2" customFormat="1" spans="1:14">
      <c r="A365" s="20">
        <v>45751</v>
      </c>
      <c r="B365" s="2" t="s">
        <v>84</v>
      </c>
      <c r="C365" s="2" t="s">
        <v>85</v>
      </c>
      <c r="D365" s="2">
        <v>2</v>
      </c>
      <c r="E365" s="2">
        <v>826</v>
      </c>
      <c r="F365" s="2">
        <v>173</v>
      </c>
      <c r="G365" s="2">
        <v>231936</v>
      </c>
      <c r="H365" s="2">
        <v>8</v>
      </c>
      <c r="I365" s="2" t="s">
        <v>78</v>
      </c>
      <c r="J365" s="3">
        <v>0.209443099273608</v>
      </c>
      <c r="K365" s="21">
        <v>1340.67052023121</v>
      </c>
      <c r="L365" s="21">
        <v>28992</v>
      </c>
      <c r="M365" s="21">
        <v>103.25</v>
      </c>
      <c r="N365" s="2" t="s">
        <v>79</v>
      </c>
    </row>
    <row r="366" s="2" customFormat="1" spans="1:14">
      <c r="A366" s="20">
        <v>45752</v>
      </c>
      <c r="B366" s="2" t="s">
        <v>84</v>
      </c>
      <c r="C366" s="2" t="s">
        <v>85</v>
      </c>
      <c r="D366" s="2">
        <v>2</v>
      </c>
      <c r="E366" s="2">
        <v>1026</v>
      </c>
      <c r="F366" s="2">
        <v>222</v>
      </c>
      <c r="G366" s="2">
        <v>358779</v>
      </c>
      <c r="H366" s="2">
        <v>8</v>
      </c>
      <c r="I366" s="2" t="s">
        <v>78</v>
      </c>
      <c r="J366" s="3">
        <v>0.216374269005848</v>
      </c>
      <c r="K366" s="21">
        <v>1616.12162162162</v>
      </c>
      <c r="L366" s="21">
        <v>44847.375</v>
      </c>
      <c r="M366" s="21">
        <v>128.25</v>
      </c>
      <c r="N366" s="2" t="s">
        <v>80</v>
      </c>
    </row>
    <row r="367" s="2" customFormat="1" spans="1:14">
      <c r="A367" s="20">
        <v>45753</v>
      </c>
      <c r="B367" s="2" t="s">
        <v>84</v>
      </c>
      <c r="C367" s="2" t="s">
        <v>85</v>
      </c>
      <c r="D367" s="2">
        <v>2</v>
      </c>
      <c r="E367" s="2">
        <v>1167</v>
      </c>
      <c r="F367" s="2">
        <v>227</v>
      </c>
      <c r="G367" s="2">
        <v>375176</v>
      </c>
      <c r="H367" s="2">
        <v>7</v>
      </c>
      <c r="I367" s="2" t="s">
        <v>81</v>
      </c>
      <c r="J367" s="3">
        <v>0.194515852613539</v>
      </c>
      <c r="K367" s="21">
        <v>1652.7577092511</v>
      </c>
      <c r="L367" s="21">
        <v>53596.5714285714</v>
      </c>
      <c r="M367" s="21">
        <v>166.714285714286</v>
      </c>
      <c r="N367" s="2" t="s">
        <v>80</v>
      </c>
    </row>
    <row r="368" s="2" customFormat="1" spans="1:14">
      <c r="A368" s="20">
        <v>45754</v>
      </c>
      <c r="B368" s="2" t="s">
        <v>84</v>
      </c>
      <c r="C368" s="2" t="s">
        <v>85</v>
      </c>
      <c r="D368" s="2">
        <v>2</v>
      </c>
      <c r="E368" s="2">
        <v>621</v>
      </c>
      <c r="F368" s="2">
        <v>143</v>
      </c>
      <c r="G368" s="2">
        <v>191994</v>
      </c>
      <c r="H368" s="2">
        <v>9</v>
      </c>
      <c r="I368" s="2" t="s">
        <v>78</v>
      </c>
      <c r="J368" s="3">
        <v>0.230273752012882</v>
      </c>
      <c r="K368" s="21">
        <v>1342.61538461538</v>
      </c>
      <c r="L368" s="21">
        <v>21332.6666666667</v>
      </c>
      <c r="M368" s="21">
        <v>69</v>
      </c>
      <c r="N368" s="2" t="s">
        <v>79</v>
      </c>
    </row>
    <row r="369" s="2" customFormat="1" spans="1:14">
      <c r="A369" s="20">
        <v>45755</v>
      </c>
      <c r="B369" s="2" t="s">
        <v>84</v>
      </c>
      <c r="C369" s="2" t="s">
        <v>85</v>
      </c>
      <c r="D369" s="2">
        <v>2</v>
      </c>
      <c r="E369" s="2">
        <v>698</v>
      </c>
      <c r="F369" s="2">
        <v>133</v>
      </c>
      <c r="G369" s="2">
        <v>209296</v>
      </c>
      <c r="H369" s="2">
        <v>5</v>
      </c>
      <c r="I369" s="2" t="s">
        <v>78</v>
      </c>
      <c r="J369" s="3">
        <v>0.19054441260745</v>
      </c>
      <c r="K369" s="21">
        <v>1573.65413533835</v>
      </c>
      <c r="L369" s="21">
        <v>41859.2</v>
      </c>
      <c r="M369" s="21">
        <v>139.6</v>
      </c>
      <c r="N369" s="2" t="s">
        <v>79</v>
      </c>
    </row>
    <row r="370" s="2" customFormat="1" spans="1:14">
      <c r="A370" s="20">
        <v>45756</v>
      </c>
      <c r="B370" s="2" t="s">
        <v>84</v>
      </c>
      <c r="C370" s="2" t="s">
        <v>85</v>
      </c>
      <c r="D370" s="2">
        <v>2</v>
      </c>
      <c r="E370" s="2">
        <v>641</v>
      </c>
      <c r="F370" s="2">
        <v>124</v>
      </c>
      <c r="G370" s="2">
        <v>159269</v>
      </c>
      <c r="H370" s="2">
        <v>7</v>
      </c>
      <c r="I370" s="2" t="s">
        <v>78</v>
      </c>
      <c r="J370" s="3">
        <v>0.193447737909516</v>
      </c>
      <c r="K370" s="21">
        <v>1284.42741935484</v>
      </c>
      <c r="L370" s="21">
        <v>22752.7142857143</v>
      </c>
      <c r="M370" s="21">
        <v>91.5714285714286</v>
      </c>
      <c r="N370" s="2" t="s">
        <v>79</v>
      </c>
    </row>
    <row r="371" s="2" customFormat="1" spans="1:14">
      <c r="A371" s="20">
        <v>45757</v>
      </c>
      <c r="B371" s="2" t="s">
        <v>84</v>
      </c>
      <c r="C371" s="2" t="s">
        <v>85</v>
      </c>
      <c r="D371" s="2">
        <v>2</v>
      </c>
      <c r="E371" s="2">
        <v>679</v>
      </c>
      <c r="F371" s="2">
        <v>145</v>
      </c>
      <c r="G371" s="2">
        <v>198089</v>
      </c>
      <c r="H371" s="2">
        <v>5</v>
      </c>
      <c r="I371" s="2" t="s">
        <v>78</v>
      </c>
      <c r="J371" s="3">
        <v>0.213549337260678</v>
      </c>
      <c r="K371" s="21">
        <v>1366.13103448276</v>
      </c>
      <c r="L371" s="21">
        <v>39617.8</v>
      </c>
      <c r="M371" s="21">
        <v>135.8</v>
      </c>
      <c r="N371" s="2" t="s">
        <v>79</v>
      </c>
    </row>
    <row r="372" s="2" customFormat="1" spans="1:14">
      <c r="A372" s="20">
        <v>45758</v>
      </c>
      <c r="B372" s="2" t="s">
        <v>84</v>
      </c>
      <c r="C372" s="2" t="s">
        <v>85</v>
      </c>
      <c r="D372" s="2">
        <v>2</v>
      </c>
      <c r="E372" s="2">
        <v>739</v>
      </c>
      <c r="F372" s="2">
        <v>163</v>
      </c>
      <c r="G372" s="2">
        <v>219435</v>
      </c>
      <c r="H372" s="2">
        <v>9</v>
      </c>
      <c r="I372" s="2" t="s">
        <v>78</v>
      </c>
      <c r="J372" s="3">
        <v>0.220568335588633</v>
      </c>
      <c r="K372" s="21">
        <v>1346.22699386503</v>
      </c>
      <c r="L372" s="21">
        <v>24381.6666666667</v>
      </c>
      <c r="M372" s="21">
        <v>82.1111111111111</v>
      </c>
      <c r="N372" s="2" t="s">
        <v>79</v>
      </c>
    </row>
    <row r="373" s="2" customFormat="1" spans="1:14">
      <c r="A373" s="20">
        <v>45759</v>
      </c>
      <c r="B373" s="2" t="s">
        <v>84</v>
      </c>
      <c r="C373" s="2" t="s">
        <v>85</v>
      </c>
      <c r="D373" s="2">
        <v>2</v>
      </c>
      <c r="E373" s="2">
        <v>1070</v>
      </c>
      <c r="F373" s="2">
        <v>240</v>
      </c>
      <c r="G373" s="2">
        <v>389261</v>
      </c>
      <c r="H373" s="2">
        <v>8</v>
      </c>
      <c r="I373" s="2" t="s">
        <v>78</v>
      </c>
      <c r="J373" s="3">
        <v>0.224299065420561</v>
      </c>
      <c r="K373" s="21">
        <v>1621.92083333333</v>
      </c>
      <c r="L373" s="21">
        <v>48657.625</v>
      </c>
      <c r="M373" s="21">
        <v>133.75</v>
      </c>
      <c r="N373" s="2" t="s">
        <v>80</v>
      </c>
    </row>
    <row r="374" s="2" customFormat="1" spans="1:14">
      <c r="A374" s="20">
        <v>45760</v>
      </c>
      <c r="B374" s="2" t="s">
        <v>84</v>
      </c>
      <c r="C374" s="2" t="s">
        <v>85</v>
      </c>
      <c r="D374" s="2">
        <v>2</v>
      </c>
      <c r="E374" s="2">
        <v>915</v>
      </c>
      <c r="F374" s="2">
        <v>198</v>
      </c>
      <c r="G374" s="2">
        <v>278614</v>
      </c>
      <c r="H374" s="2">
        <v>9</v>
      </c>
      <c r="I374" s="2" t="s">
        <v>78</v>
      </c>
      <c r="J374" s="3">
        <v>0.216393442622951</v>
      </c>
      <c r="K374" s="21">
        <v>1407.14141414141</v>
      </c>
      <c r="L374" s="21">
        <v>30957.1111111111</v>
      </c>
      <c r="M374" s="21">
        <v>101.666666666667</v>
      </c>
      <c r="N374" s="2" t="s">
        <v>80</v>
      </c>
    </row>
    <row r="375" s="2" customFormat="1" spans="1:14">
      <c r="A375" s="20">
        <v>45761</v>
      </c>
      <c r="B375" s="2" t="s">
        <v>84</v>
      </c>
      <c r="C375" s="2" t="s">
        <v>85</v>
      </c>
      <c r="D375" s="2">
        <v>2</v>
      </c>
      <c r="E375" s="2">
        <v>647</v>
      </c>
      <c r="F375" s="2">
        <v>131</v>
      </c>
      <c r="G375" s="2">
        <v>198670</v>
      </c>
      <c r="H375" s="2">
        <v>7</v>
      </c>
      <c r="I375" s="2" t="s">
        <v>78</v>
      </c>
      <c r="J375" s="3">
        <v>0.202472952086553</v>
      </c>
      <c r="K375" s="21">
        <v>1516.56488549618</v>
      </c>
      <c r="L375" s="21">
        <v>28381.4285714286</v>
      </c>
      <c r="M375" s="21">
        <v>92.4285714285714</v>
      </c>
      <c r="N375" s="2" t="s">
        <v>79</v>
      </c>
    </row>
    <row r="376" s="2" customFormat="1" spans="1:14">
      <c r="A376" s="20">
        <v>45762</v>
      </c>
      <c r="B376" s="2" t="s">
        <v>84</v>
      </c>
      <c r="C376" s="2" t="s">
        <v>85</v>
      </c>
      <c r="D376" s="2">
        <v>2</v>
      </c>
      <c r="E376" s="2">
        <v>630</v>
      </c>
      <c r="F376" s="2">
        <v>145</v>
      </c>
      <c r="G376" s="2">
        <v>190753</v>
      </c>
      <c r="H376" s="2">
        <v>8</v>
      </c>
      <c r="I376" s="2" t="s">
        <v>78</v>
      </c>
      <c r="J376" s="3">
        <v>0.23015873015873</v>
      </c>
      <c r="K376" s="21">
        <v>1315.53793103448</v>
      </c>
      <c r="L376" s="21">
        <v>23844.125</v>
      </c>
      <c r="M376" s="21">
        <v>78.75</v>
      </c>
      <c r="N376" s="2" t="s">
        <v>79</v>
      </c>
    </row>
    <row r="377" s="2" customFormat="1" spans="1:14">
      <c r="A377" s="20">
        <v>45763</v>
      </c>
      <c r="B377" s="2" t="s">
        <v>84</v>
      </c>
      <c r="C377" s="2" t="s">
        <v>85</v>
      </c>
      <c r="D377" s="2">
        <v>2</v>
      </c>
      <c r="E377" s="2">
        <v>651</v>
      </c>
      <c r="F377" s="2">
        <v>128</v>
      </c>
      <c r="G377" s="2">
        <v>161326</v>
      </c>
      <c r="H377" s="2">
        <v>5</v>
      </c>
      <c r="I377" s="2" t="s">
        <v>78</v>
      </c>
      <c r="J377" s="3">
        <v>0.196620583717358</v>
      </c>
      <c r="K377" s="21">
        <v>1260.359375</v>
      </c>
      <c r="L377" s="21">
        <v>32265.2</v>
      </c>
      <c r="M377" s="21">
        <v>130.2</v>
      </c>
      <c r="N377" s="2" t="s">
        <v>79</v>
      </c>
    </row>
    <row r="378" s="2" customFormat="1" spans="1:14">
      <c r="A378" s="20">
        <v>45764</v>
      </c>
      <c r="B378" s="2" t="s">
        <v>84</v>
      </c>
      <c r="C378" s="2" t="s">
        <v>85</v>
      </c>
      <c r="D378" s="2">
        <v>2</v>
      </c>
      <c r="E378" s="2">
        <v>544</v>
      </c>
      <c r="F378" s="2">
        <v>117</v>
      </c>
      <c r="G378" s="2">
        <v>151665</v>
      </c>
      <c r="H378" s="2">
        <v>8</v>
      </c>
      <c r="I378" s="2" t="s">
        <v>78</v>
      </c>
      <c r="J378" s="3">
        <v>0.215073529411765</v>
      </c>
      <c r="K378" s="21">
        <v>1296.28205128205</v>
      </c>
      <c r="L378" s="21">
        <v>18958.125</v>
      </c>
      <c r="M378" s="21">
        <v>68</v>
      </c>
      <c r="N378" s="2" t="s">
        <v>79</v>
      </c>
    </row>
    <row r="379" s="2" customFormat="1" spans="1:14">
      <c r="A379" s="20">
        <v>45765</v>
      </c>
      <c r="B379" s="2" t="s">
        <v>84</v>
      </c>
      <c r="C379" s="2" t="s">
        <v>85</v>
      </c>
      <c r="D379" s="2">
        <v>2</v>
      </c>
      <c r="E379" s="2">
        <v>568</v>
      </c>
      <c r="F379" s="2">
        <v>122</v>
      </c>
      <c r="G379" s="2">
        <v>182775</v>
      </c>
      <c r="H379" s="2">
        <v>4</v>
      </c>
      <c r="I379" s="2" t="s">
        <v>78</v>
      </c>
      <c r="J379" s="3">
        <v>0.214788732394366</v>
      </c>
      <c r="K379" s="21">
        <v>1498.15573770492</v>
      </c>
      <c r="L379" s="21">
        <v>45693.75</v>
      </c>
      <c r="M379" s="21">
        <v>142</v>
      </c>
      <c r="N379" s="2" t="s">
        <v>79</v>
      </c>
    </row>
    <row r="380" s="2" customFormat="1" spans="1:14">
      <c r="A380" s="20">
        <v>45766</v>
      </c>
      <c r="B380" s="2" t="s">
        <v>84</v>
      </c>
      <c r="C380" s="2" t="s">
        <v>85</v>
      </c>
      <c r="D380" s="2">
        <v>2</v>
      </c>
      <c r="E380" s="2">
        <v>1140</v>
      </c>
      <c r="F380" s="2">
        <v>220</v>
      </c>
      <c r="G380" s="2">
        <v>291900</v>
      </c>
      <c r="H380" s="2">
        <v>8</v>
      </c>
      <c r="I380" s="2" t="s">
        <v>81</v>
      </c>
      <c r="J380" s="3">
        <v>0.192982456140351</v>
      </c>
      <c r="K380" s="21">
        <v>1326.81818181818</v>
      </c>
      <c r="L380" s="21">
        <v>36487.5</v>
      </c>
      <c r="M380" s="21">
        <v>142.5</v>
      </c>
      <c r="N380" s="2" t="s">
        <v>80</v>
      </c>
    </row>
    <row r="381" s="2" customFormat="1" spans="1:14">
      <c r="A381" s="20">
        <v>45767</v>
      </c>
      <c r="B381" s="2" t="s">
        <v>84</v>
      </c>
      <c r="C381" s="2" t="s">
        <v>85</v>
      </c>
      <c r="D381" s="2">
        <v>2</v>
      </c>
      <c r="E381" s="2">
        <v>857</v>
      </c>
      <c r="F381" s="2">
        <v>183</v>
      </c>
      <c r="G381" s="2">
        <v>216289</v>
      </c>
      <c r="H381" s="2">
        <v>8</v>
      </c>
      <c r="I381" s="2" t="s">
        <v>78</v>
      </c>
      <c r="J381" s="3">
        <v>0.213535589264878</v>
      </c>
      <c r="K381" s="21">
        <v>1181.90710382514</v>
      </c>
      <c r="L381" s="21">
        <v>27036.125</v>
      </c>
      <c r="M381" s="21">
        <v>107.125</v>
      </c>
      <c r="N381" s="2" t="s">
        <v>80</v>
      </c>
    </row>
    <row r="382" s="2" customFormat="1" spans="1:14">
      <c r="A382" s="20">
        <v>45768</v>
      </c>
      <c r="B382" s="2" t="s">
        <v>84</v>
      </c>
      <c r="C382" s="2" t="s">
        <v>85</v>
      </c>
      <c r="D382" s="2">
        <v>2</v>
      </c>
      <c r="E382" s="2">
        <v>752</v>
      </c>
      <c r="F382" s="2">
        <v>165</v>
      </c>
      <c r="G382" s="2">
        <v>191589</v>
      </c>
      <c r="H382" s="2">
        <v>9</v>
      </c>
      <c r="I382" s="2" t="s">
        <v>78</v>
      </c>
      <c r="J382" s="3">
        <v>0.219414893617021</v>
      </c>
      <c r="K382" s="21">
        <v>1161.14545454546</v>
      </c>
      <c r="L382" s="21">
        <v>21287.6666666667</v>
      </c>
      <c r="M382" s="21">
        <v>83.5555555555556</v>
      </c>
      <c r="N382" s="2" t="s">
        <v>79</v>
      </c>
    </row>
    <row r="383" s="2" customFormat="1" spans="1:14">
      <c r="A383" s="20">
        <v>45769</v>
      </c>
      <c r="B383" s="2" t="s">
        <v>84</v>
      </c>
      <c r="C383" s="2" t="s">
        <v>85</v>
      </c>
      <c r="D383" s="2">
        <v>2</v>
      </c>
      <c r="E383" s="2">
        <v>580</v>
      </c>
      <c r="F383" s="2">
        <v>115</v>
      </c>
      <c r="G383" s="2">
        <v>176819</v>
      </c>
      <c r="H383" s="2">
        <v>8</v>
      </c>
      <c r="I383" s="2" t="s">
        <v>78</v>
      </c>
      <c r="J383" s="3">
        <v>0.198275862068965</v>
      </c>
      <c r="K383" s="21">
        <v>1537.55652173913</v>
      </c>
      <c r="L383" s="21">
        <v>22102.375</v>
      </c>
      <c r="M383" s="21">
        <v>72.5</v>
      </c>
      <c r="N383" s="2" t="s">
        <v>79</v>
      </c>
    </row>
    <row r="384" s="2" customFormat="1" spans="1:14">
      <c r="A384" s="20">
        <v>45770</v>
      </c>
      <c r="B384" s="2" t="s">
        <v>84</v>
      </c>
      <c r="C384" s="2" t="s">
        <v>85</v>
      </c>
      <c r="D384" s="2">
        <v>2</v>
      </c>
      <c r="E384" s="2">
        <v>672</v>
      </c>
      <c r="F384" s="2">
        <v>129</v>
      </c>
      <c r="G384" s="2">
        <v>206273</v>
      </c>
      <c r="H384" s="2">
        <v>4</v>
      </c>
      <c r="I384" s="2" t="s">
        <v>78</v>
      </c>
      <c r="J384" s="3">
        <v>0.191964285714286</v>
      </c>
      <c r="K384" s="21">
        <v>1599.01550387597</v>
      </c>
      <c r="L384" s="21">
        <v>51568.25</v>
      </c>
      <c r="M384" s="21">
        <v>168</v>
      </c>
      <c r="N384" s="2" t="s">
        <v>79</v>
      </c>
    </row>
    <row r="385" s="2" customFormat="1" spans="1:14">
      <c r="A385" s="20">
        <v>45771</v>
      </c>
      <c r="B385" s="2" t="s">
        <v>84</v>
      </c>
      <c r="C385" s="2" t="s">
        <v>85</v>
      </c>
      <c r="D385" s="2">
        <v>2</v>
      </c>
      <c r="E385" s="2">
        <v>651</v>
      </c>
      <c r="F385" s="2">
        <v>133</v>
      </c>
      <c r="G385" s="2">
        <v>200336</v>
      </c>
      <c r="H385" s="2">
        <v>7</v>
      </c>
      <c r="I385" s="2" t="s">
        <v>78</v>
      </c>
      <c r="J385" s="3">
        <v>0.204301075268817</v>
      </c>
      <c r="K385" s="21">
        <v>1506.28571428571</v>
      </c>
      <c r="L385" s="21">
        <v>28619.4285714286</v>
      </c>
      <c r="M385" s="21">
        <v>93</v>
      </c>
      <c r="N385" s="2" t="s">
        <v>79</v>
      </c>
    </row>
    <row r="386" s="2" customFormat="1" spans="1:14">
      <c r="A386" s="20">
        <v>45772</v>
      </c>
      <c r="B386" s="2" t="s">
        <v>84</v>
      </c>
      <c r="C386" s="2" t="s">
        <v>85</v>
      </c>
      <c r="D386" s="2">
        <v>2</v>
      </c>
      <c r="E386" s="2">
        <v>666</v>
      </c>
      <c r="F386" s="2">
        <v>139</v>
      </c>
      <c r="G386" s="2">
        <v>220361</v>
      </c>
      <c r="H386" s="2">
        <v>6</v>
      </c>
      <c r="I386" s="2" t="s">
        <v>78</v>
      </c>
      <c r="J386" s="3">
        <v>0.208708708708709</v>
      </c>
      <c r="K386" s="21">
        <v>1585.3309352518</v>
      </c>
      <c r="L386" s="21">
        <v>36726.8333333333</v>
      </c>
      <c r="M386" s="21">
        <v>111</v>
      </c>
      <c r="N386" s="2" t="s">
        <v>79</v>
      </c>
    </row>
    <row r="387" s="2" customFormat="1" spans="1:14">
      <c r="A387" s="20">
        <v>45773</v>
      </c>
      <c r="B387" s="2" t="s">
        <v>84</v>
      </c>
      <c r="C387" s="2" t="s">
        <v>85</v>
      </c>
      <c r="D387" s="2">
        <v>2</v>
      </c>
      <c r="E387" s="2">
        <v>931</v>
      </c>
      <c r="F387" s="2">
        <v>203</v>
      </c>
      <c r="G387" s="2">
        <v>246053</v>
      </c>
      <c r="H387" s="2">
        <v>6</v>
      </c>
      <c r="I387" s="2" t="s">
        <v>78</v>
      </c>
      <c r="J387" s="3">
        <v>0.218045112781955</v>
      </c>
      <c r="K387" s="21">
        <v>1212.08374384237</v>
      </c>
      <c r="L387" s="21">
        <v>41008.8333333333</v>
      </c>
      <c r="M387" s="21">
        <v>155.166666666667</v>
      </c>
      <c r="N387" s="2" t="s">
        <v>80</v>
      </c>
    </row>
    <row r="388" s="2" customFormat="1" spans="1:14">
      <c r="A388" s="20">
        <v>45774</v>
      </c>
      <c r="B388" s="2" t="s">
        <v>84</v>
      </c>
      <c r="C388" s="2" t="s">
        <v>85</v>
      </c>
      <c r="D388" s="2">
        <v>2</v>
      </c>
      <c r="E388" s="2">
        <v>989</v>
      </c>
      <c r="F388" s="2">
        <v>216</v>
      </c>
      <c r="G388" s="2">
        <v>299363</v>
      </c>
      <c r="H388" s="2">
        <v>6</v>
      </c>
      <c r="I388" s="2" t="s">
        <v>78</v>
      </c>
      <c r="J388" s="3">
        <v>0.21840242669363</v>
      </c>
      <c r="K388" s="21">
        <v>1385.93981481482</v>
      </c>
      <c r="L388" s="21">
        <v>49893.8333333333</v>
      </c>
      <c r="M388" s="21">
        <v>164.833333333333</v>
      </c>
      <c r="N388" s="2" t="s">
        <v>80</v>
      </c>
    </row>
    <row r="389" s="2" customFormat="1" spans="1:14">
      <c r="A389" s="20">
        <v>45775</v>
      </c>
      <c r="B389" s="2" t="s">
        <v>84</v>
      </c>
      <c r="C389" s="2" t="s">
        <v>85</v>
      </c>
      <c r="D389" s="2">
        <v>2</v>
      </c>
      <c r="E389" s="2">
        <v>642</v>
      </c>
      <c r="F389" s="2">
        <v>145</v>
      </c>
      <c r="G389" s="2">
        <v>212389</v>
      </c>
      <c r="H389" s="2">
        <v>8</v>
      </c>
      <c r="I389" s="2" t="s">
        <v>78</v>
      </c>
      <c r="J389" s="3">
        <v>0.225856697819315</v>
      </c>
      <c r="K389" s="21">
        <v>1464.75172413793</v>
      </c>
      <c r="L389" s="21">
        <v>26548.625</v>
      </c>
      <c r="M389" s="21">
        <v>80.25</v>
      </c>
      <c r="N389" s="2" t="s">
        <v>79</v>
      </c>
    </row>
    <row r="390" s="2" customFormat="1" spans="1:14">
      <c r="A390" s="20">
        <v>45776</v>
      </c>
      <c r="B390" s="2" t="s">
        <v>84</v>
      </c>
      <c r="C390" s="2" t="s">
        <v>85</v>
      </c>
      <c r="D390" s="2">
        <v>2</v>
      </c>
      <c r="E390" s="2">
        <v>878</v>
      </c>
      <c r="F390" s="2">
        <v>174</v>
      </c>
      <c r="G390" s="2">
        <v>285145</v>
      </c>
      <c r="H390" s="2">
        <v>6</v>
      </c>
      <c r="I390" s="2" t="s">
        <v>78</v>
      </c>
      <c r="J390" s="3">
        <v>0.198177676537585</v>
      </c>
      <c r="K390" s="21">
        <v>1638.76436781609</v>
      </c>
      <c r="L390" s="21">
        <v>47524.1666666667</v>
      </c>
      <c r="M390" s="21">
        <v>146.333333333333</v>
      </c>
      <c r="N390" s="2" t="s">
        <v>79</v>
      </c>
    </row>
    <row r="391" s="2" customFormat="1" spans="1:14">
      <c r="A391" s="20">
        <v>45777</v>
      </c>
      <c r="B391" s="2" t="s">
        <v>84</v>
      </c>
      <c r="C391" s="2" t="s">
        <v>85</v>
      </c>
      <c r="D391" s="2">
        <v>2</v>
      </c>
      <c r="E391" s="2">
        <v>565</v>
      </c>
      <c r="F391" s="2">
        <v>107</v>
      </c>
      <c r="G391" s="2">
        <v>169229</v>
      </c>
      <c r="H391" s="2">
        <v>6</v>
      </c>
      <c r="I391" s="2" t="s">
        <v>78</v>
      </c>
      <c r="J391" s="3">
        <v>0.189380530973451</v>
      </c>
      <c r="K391" s="21">
        <v>1581.57943925234</v>
      </c>
      <c r="L391" s="21">
        <v>28204.8333333333</v>
      </c>
      <c r="M391" s="21">
        <v>94.1666666666667</v>
      </c>
      <c r="N391" s="2" t="s">
        <v>79</v>
      </c>
    </row>
    <row r="392" s="2" customFormat="1" spans="1:14">
      <c r="A392" s="20">
        <v>45778</v>
      </c>
      <c r="B392" s="2" t="s">
        <v>84</v>
      </c>
      <c r="C392" s="2" t="s">
        <v>85</v>
      </c>
      <c r="D392" s="2">
        <v>2</v>
      </c>
      <c r="E392" s="2">
        <v>733</v>
      </c>
      <c r="F392" s="2">
        <v>146</v>
      </c>
      <c r="G392" s="2">
        <v>185607</v>
      </c>
      <c r="H392" s="2">
        <v>9</v>
      </c>
      <c r="I392" s="2" t="s">
        <v>78</v>
      </c>
      <c r="J392" s="3">
        <v>0.199181446111869</v>
      </c>
      <c r="K392" s="21">
        <v>1271.28082191781</v>
      </c>
      <c r="L392" s="21">
        <v>20623</v>
      </c>
      <c r="M392" s="21">
        <v>81.4444444444444</v>
      </c>
      <c r="N392" s="2" t="s">
        <v>79</v>
      </c>
    </row>
    <row r="393" s="2" customFormat="1" spans="1:14">
      <c r="A393" s="20">
        <v>45779</v>
      </c>
      <c r="B393" s="2" t="s">
        <v>84</v>
      </c>
      <c r="C393" s="2" t="s">
        <v>85</v>
      </c>
      <c r="D393" s="2">
        <v>2</v>
      </c>
      <c r="E393" s="2">
        <v>687</v>
      </c>
      <c r="F393" s="2">
        <v>131</v>
      </c>
      <c r="G393" s="2">
        <v>164071</v>
      </c>
      <c r="H393" s="2">
        <v>6</v>
      </c>
      <c r="I393" s="2" t="s">
        <v>78</v>
      </c>
      <c r="J393" s="3">
        <v>0.190684133915575</v>
      </c>
      <c r="K393" s="21">
        <v>1252.45038167939</v>
      </c>
      <c r="L393" s="21">
        <v>27345.1666666667</v>
      </c>
      <c r="M393" s="21">
        <v>114.5</v>
      </c>
      <c r="N393" s="2" t="s">
        <v>79</v>
      </c>
    </row>
    <row r="394" s="2" customFormat="1" spans="1:14">
      <c r="A394" s="20">
        <v>45780</v>
      </c>
      <c r="B394" s="2" t="s">
        <v>84</v>
      </c>
      <c r="C394" s="2" t="s">
        <v>85</v>
      </c>
      <c r="D394" s="2">
        <v>2</v>
      </c>
      <c r="E394" s="2">
        <v>1023</v>
      </c>
      <c r="F394" s="2">
        <v>209</v>
      </c>
      <c r="G394" s="2">
        <v>292291</v>
      </c>
      <c r="H394" s="2">
        <v>5</v>
      </c>
      <c r="I394" s="2" t="s">
        <v>81</v>
      </c>
      <c r="J394" s="3">
        <v>0.204301075268817</v>
      </c>
      <c r="K394" s="21">
        <v>1398.52153110048</v>
      </c>
      <c r="L394" s="21">
        <v>58458.2</v>
      </c>
      <c r="M394" s="21">
        <v>204.6</v>
      </c>
      <c r="N394" s="2" t="s">
        <v>80</v>
      </c>
    </row>
    <row r="395" s="2" customFormat="1" spans="1:14">
      <c r="A395" s="20">
        <v>45781</v>
      </c>
      <c r="B395" s="2" t="s">
        <v>84</v>
      </c>
      <c r="C395" s="2" t="s">
        <v>85</v>
      </c>
      <c r="D395" s="2">
        <v>2</v>
      </c>
      <c r="E395" s="2">
        <v>911</v>
      </c>
      <c r="F395" s="2">
        <v>204</v>
      </c>
      <c r="G395" s="2">
        <v>283476</v>
      </c>
      <c r="H395" s="2">
        <v>9</v>
      </c>
      <c r="I395" s="2" t="s">
        <v>78</v>
      </c>
      <c r="J395" s="3">
        <v>0.223929747530187</v>
      </c>
      <c r="K395" s="21">
        <v>1389.58823529412</v>
      </c>
      <c r="L395" s="21">
        <v>31497.3333333333</v>
      </c>
      <c r="M395" s="21">
        <v>101.222222222222</v>
      </c>
      <c r="N395" s="2" t="s">
        <v>80</v>
      </c>
    </row>
    <row r="396" s="2" customFormat="1" spans="1:14">
      <c r="A396" s="20">
        <v>45782</v>
      </c>
      <c r="B396" s="2" t="s">
        <v>84</v>
      </c>
      <c r="C396" s="2" t="s">
        <v>85</v>
      </c>
      <c r="D396" s="2">
        <v>2</v>
      </c>
      <c r="E396" s="2">
        <v>588</v>
      </c>
      <c r="F396" s="2">
        <v>127</v>
      </c>
      <c r="G396" s="2">
        <v>194633</v>
      </c>
      <c r="H396" s="2">
        <v>5</v>
      </c>
      <c r="I396" s="2" t="s">
        <v>78</v>
      </c>
      <c r="J396" s="3">
        <v>0.215986394557823</v>
      </c>
      <c r="K396" s="21">
        <v>1532.54330708661</v>
      </c>
      <c r="L396" s="21">
        <v>38926.6</v>
      </c>
      <c r="M396" s="21">
        <v>117.6</v>
      </c>
      <c r="N396" s="2" t="s">
        <v>79</v>
      </c>
    </row>
    <row r="397" s="2" customFormat="1" spans="1:14">
      <c r="A397" s="20">
        <v>45783</v>
      </c>
      <c r="B397" s="2" t="s">
        <v>84</v>
      </c>
      <c r="C397" s="2" t="s">
        <v>85</v>
      </c>
      <c r="D397" s="2">
        <v>2</v>
      </c>
      <c r="E397" s="2">
        <v>570</v>
      </c>
      <c r="F397" s="2">
        <v>110</v>
      </c>
      <c r="G397" s="2">
        <v>147480</v>
      </c>
      <c r="H397" s="2">
        <v>6</v>
      </c>
      <c r="I397" s="2" t="s">
        <v>78</v>
      </c>
      <c r="J397" s="3">
        <v>0.192982456140351</v>
      </c>
      <c r="K397" s="21">
        <v>1340.72727272727</v>
      </c>
      <c r="L397" s="21">
        <v>24580</v>
      </c>
      <c r="M397" s="21">
        <v>95</v>
      </c>
      <c r="N397" s="2" t="s">
        <v>79</v>
      </c>
    </row>
    <row r="398" s="2" customFormat="1" spans="1:14">
      <c r="A398" s="20">
        <v>45784</v>
      </c>
      <c r="B398" s="2" t="s">
        <v>84</v>
      </c>
      <c r="C398" s="2" t="s">
        <v>85</v>
      </c>
      <c r="D398" s="2">
        <v>2</v>
      </c>
      <c r="E398" s="2">
        <v>709</v>
      </c>
      <c r="F398" s="2">
        <v>168</v>
      </c>
      <c r="G398" s="2">
        <v>264987</v>
      </c>
      <c r="H398" s="2">
        <v>9</v>
      </c>
      <c r="I398" s="2" t="s">
        <v>78</v>
      </c>
      <c r="J398" s="3">
        <v>0.236953455571227</v>
      </c>
      <c r="K398" s="21">
        <v>1577.30357142857</v>
      </c>
      <c r="L398" s="21">
        <v>29443</v>
      </c>
      <c r="M398" s="21">
        <v>78.7777777777778</v>
      </c>
      <c r="N398" s="2" t="s">
        <v>79</v>
      </c>
    </row>
    <row r="399" s="2" customFormat="1" spans="1:14">
      <c r="A399" s="20">
        <v>45785</v>
      </c>
      <c r="B399" s="2" t="s">
        <v>84</v>
      </c>
      <c r="C399" s="2" t="s">
        <v>85</v>
      </c>
      <c r="D399" s="2">
        <v>2</v>
      </c>
      <c r="E399" s="2">
        <v>634</v>
      </c>
      <c r="F399" s="2">
        <v>144</v>
      </c>
      <c r="G399" s="2">
        <v>201805</v>
      </c>
      <c r="H399" s="2">
        <v>8</v>
      </c>
      <c r="I399" s="2" t="s">
        <v>78</v>
      </c>
      <c r="J399" s="3">
        <v>0.227129337539432</v>
      </c>
      <c r="K399" s="21">
        <v>1401.42361111111</v>
      </c>
      <c r="L399" s="21">
        <v>25225.625</v>
      </c>
      <c r="M399" s="21">
        <v>79.25</v>
      </c>
      <c r="N399" s="2" t="s">
        <v>79</v>
      </c>
    </row>
    <row r="400" s="2" customFormat="1" spans="1:14">
      <c r="A400" s="20">
        <v>45786</v>
      </c>
      <c r="B400" s="2" t="s">
        <v>84</v>
      </c>
      <c r="C400" s="2" t="s">
        <v>85</v>
      </c>
      <c r="D400" s="2">
        <v>2</v>
      </c>
      <c r="E400" s="2">
        <v>662</v>
      </c>
      <c r="F400" s="2">
        <v>128</v>
      </c>
      <c r="G400" s="2">
        <v>217348</v>
      </c>
      <c r="H400" s="2">
        <v>8</v>
      </c>
      <c r="I400" s="2" t="s">
        <v>78</v>
      </c>
      <c r="J400" s="3">
        <v>0.193353474320242</v>
      </c>
      <c r="K400" s="21">
        <v>1698.03125</v>
      </c>
      <c r="L400" s="21">
        <v>27168.5</v>
      </c>
      <c r="M400" s="21">
        <v>82.75</v>
      </c>
      <c r="N400" s="2" t="s">
        <v>79</v>
      </c>
    </row>
    <row r="401" s="2" customFormat="1" spans="1:14">
      <c r="A401" s="20">
        <v>45787</v>
      </c>
      <c r="B401" s="2" t="s">
        <v>84</v>
      </c>
      <c r="C401" s="2" t="s">
        <v>85</v>
      </c>
      <c r="D401" s="2">
        <v>2</v>
      </c>
      <c r="E401" s="2">
        <v>981</v>
      </c>
      <c r="F401" s="2">
        <v>201</v>
      </c>
      <c r="G401" s="2">
        <v>239617</v>
      </c>
      <c r="H401" s="2">
        <v>8</v>
      </c>
      <c r="I401" s="2" t="s">
        <v>78</v>
      </c>
      <c r="J401" s="3">
        <v>0.204892966360856</v>
      </c>
      <c r="K401" s="21">
        <v>1192.12437810945</v>
      </c>
      <c r="L401" s="21">
        <v>29952.125</v>
      </c>
      <c r="M401" s="21">
        <v>122.625</v>
      </c>
      <c r="N401" s="2" t="s">
        <v>80</v>
      </c>
    </row>
    <row r="402" s="2" customFormat="1" spans="1:14">
      <c r="A402" s="20">
        <v>45788</v>
      </c>
      <c r="B402" s="2" t="s">
        <v>84</v>
      </c>
      <c r="C402" s="2" t="s">
        <v>85</v>
      </c>
      <c r="D402" s="2">
        <v>2</v>
      </c>
      <c r="E402" s="2">
        <v>787</v>
      </c>
      <c r="F402" s="2">
        <v>169</v>
      </c>
      <c r="G402" s="2">
        <v>250106</v>
      </c>
      <c r="H402" s="2">
        <v>5</v>
      </c>
      <c r="I402" s="2" t="s">
        <v>78</v>
      </c>
      <c r="J402" s="3">
        <v>0.214739517153748</v>
      </c>
      <c r="K402" s="21">
        <v>1479.91715976331</v>
      </c>
      <c r="L402" s="21">
        <v>50021.2</v>
      </c>
      <c r="M402" s="21">
        <v>157.4</v>
      </c>
      <c r="N402" s="2" t="s">
        <v>80</v>
      </c>
    </row>
    <row r="403" s="2" customFormat="1" spans="1:14">
      <c r="A403" s="20">
        <v>45789</v>
      </c>
      <c r="B403" s="2" t="s">
        <v>84</v>
      </c>
      <c r="C403" s="2" t="s">
        <v>85</v>
      </c>
      <c r="D403" s="2">
        <v>2</v>
      </c>
      <c r="E403" s="2">
        <v>667</v>
      </c>
      <c r="F403" s="2">
        <v>130</v>
      </c>
      <c r="G403" s="2">
        <v>197617</v>
      </c>
      <c r="H403" s="2">
        <v>8</v>
      </c>
      <c r="I403" s="2" t="s">
        <v>78</v>
      </c>
      <c r="J403" s="3">
        <v>0.194902548725637</v>
      </c>
      <c r="K403" s="21">
        <v>1520.13076923077</v>
      </c>
      <c r="L403" s="21">
        <v>24702.125</v>
      </c>
      <c r="M403" s="21">
        <v>83.375</v>
      </c>
      <c r="N403" s="2" t="s">
        <v>79</v>
      </c>
    </row>
    <row r="404" s="2" customFormat="1" spans="1:14">
      <c r="A404" s="20">
        <v>45790</v>
      </c>
      <c r="B404" s="2" t="s">
        <v>84</v>
      </c>
      <c r="C404" s="2" t="s">
        <v>85</v>
      </c>
      <c r="D404" s="2">
        <v>2</v>
      </c>
      <c r="E404" s="2">
        <v>557</v>
      </c>
      <c r="F404" s="2">
        <v>109</v>
      </c>
      <c r="G404" s="2">
        <v>160901</v>
      </c>
      <c r="H404" s="2">
        <v>5</v>
      </c>
      <c r="I404" s="2" t="s">
        <v>78</v>
      </c>
      <c r="J404" s="3">
        <v>0.195691202872531</v>
      </c>
      <c r="K404" s="21">
        <v>1476.15596330275</v>
      </c>
      <c r="L404" s="21">
        <v>32180.2</v>
      </c>
      <c r="M404" s="21">
        <v>111.4</v>
      </c>
      <c r="N404" s="2" t="s">
        <v>79</v>
      </c>
    </row>
    <row r="405" s="2" customFormat="1" spans="1:14">
      <c r="A405" s="20">
        <v>45791</v>
      </c>
      <c r="B405" s="2" t="s">
        <v>84</v>
      </c>
      <c r="C405" s="2" t="s">
        <v>85</v>
      </c>
      <c r="D405" s="2">
        <v>2</v>
      </c>
      <c r="E405" s="2">
        <v>634</v>
      </c>
      <c r="F405" s="2">
        <v>140</v>
      </c>
      <c r="G405" s="2">
        <v>156601</v>
      </c>
      <c r="H405" s="2">
        <v>9</v>
      </c>
      <c r="I405" s="2" t="s">
        <v>81</v>
      </c>
      <c r="J405" s="3">
        <v>0.220820189274448</v>
      </c>
      <c r="K405" s="21">
        <v>1118.57857142857</v>
      </c>
      <c r="L405" s="21">
        <v>17400.1111111111</v>
      </c>
      <c r="M405" s="21">
        <v>70.4444444444444</v>
      </c>
      <c r="N405" s="2" t="s">
        <v>79</v>
      </c>
    </row>
    <row r="406" s="2" customFormat="1" spans="1:14">
      <c r="A406" s="20">
        <v>45792</v>
      </c>
      <c r="B406" s="2" t="s">
        <v>84</v>
      </c>
      <c r="C406" s="2" t="s">
        <v>85</v>
      </c>
      <c r="D406" s="2">
        <v>2</v>
      </c>
      <c r="E406" s="2">
        <v>711</v>
      </c>
      <c r="F406" s="2">
        <v>164</v>
      </c>
      <c r="G406" s="2">
        <v>256854</v>
      </c>
      <c r="H406" s="2">
        <v>9</v>
      </c>
      <c r="I406" s="2" t="s">
        <v>78</v>
      </c>
      <c r="J406" s="3">
        <v>0.230661040787623</v>
      </c>
      <c r="K406" s="21">
        <v>1566.18292682927</v>
      </c>
      <c r="L406" s="21">
        <v>28539.3333333333</v>
      </c>
      <c r="M406" s="21">
        <v>79</v>
      </c>
      <c r="N406" s="2" t="s">
        <v>79</v>
      </c>
    </row>
    <row r="407" s="2" customFormat="1" spans="1:14">
      <c r="A407" s="20">
        <v>45793</v>
      </c>
      <c r="B407" s="2" t="s">
        <v>84</v>
      </c>
      <c r="C407" s="2" t="s">
        <v>85</v>
      </c>
      <c r="D407" s="2">
        <v>2</v>
      </c>
      <c r="E407" s="2">
        <v>633</v>
      </c>
      <c r="F407" s="2">
        <v>116</v>
      </c>
      <c r="G407" s="2">
        <v>166188</v>
      </c>
      <c r="H407" s="2">
        <v>5</v>
      </c>
      <c r="I407" s="2" t="s">
        <v>78</v>
      </c>
      <c r="J407" s="3">
        <v>0.183254344391785</v>
      </c>
      <c r="K407" s="21">
        <v>1432.65517241379</v>
      </c>
      <c r="L407" s="21">
        <v>33237.6</v>
      </c>
      <c r="M407" s="21">
        <v>126.6</v>
      </c>
      <c r="N407" s="2" t="s">
        <v>79</v>
      </c>
    </row>
    <row r="408" s="2" customFormat="1" spans="1:14">
      <c r="A408" s="20">
        <v>45794</v>
      </c>
      <c r="B408" s="2" t="s">
        <v>84</v>
      </c>
      <c r="C408" s="2" t="s">
        <v>85</v>
      </c>
      <c r="D408" s="2">
        <v>2</v>
      </c>
      <c r="E408" s="2">
        <v>990</v>
      </c>
      <c r="F408" s="2">
        <v>198</v>
      </c>
      <c r="G408" s="2">
        <v>243990</v>
      </c>
      <c r="H408" s="2">
        <v>6</v>
      </c>
      <c r="I408" s="2" t="s">
        <v>78</v>
      </c>
      <c r="J408" s="3">
        <v>0.2</v>
      </c>
      <c r="K408" s="21">
        <v>1232.27272727273</v>
      </c>
      <c r="L408" s="21">
        <v>40665</v>
      </c>
      <c r="M408" s="21">
        <v>165</v>
      </c>
      <c r="N408" s="2" t="s">
        <v>80</v>
      </c>
    </row>
    <row r="409" s="2" customFormat="1" spans="1:14">
      <c r="A409" s="20">
        <v>45795</v>
      </c>
      <c r="B409" s="2" t="s">
        <v>84</v>
      </c>
      <c r="C409" s="2" t="s">
        <v>85</v>
      </c>
      <c r="D409" s="2">
        <v>2</v>
      </c>
      <c r="E409" s="2">
        <v>880</v>
      </c>
      <c r="F409" s="2">
        <v>189</v>
      </c>
      <c r="G409" s="2">
        <v>285702</v>
      </c>
      <c r="H409" s="2">
        <v>6</v>
      </c>
      <c r="I409" s="2" t="s">
        <v>81</v>
      </c>
      <c r="J409" s="3">
        <v>0.214772727272727</v>
      </c>
      <c r="K409" s="21">
        <v>1511.65079365079</v>
      </c>
      <c r="L409" s="21">
        <v>47617</v>
      </c>
      <c r="M409" s="21">
        <v>146.666666666667</v>
      </c>
      <c r="N409" s="2" t="s">
        <v>80</v>
      </c>
    </row>
    <row r="410" s="2" customFormat="1" spans="1:14">
      <c r="A410" s="20">
        <v>45796</v>
      </c>
      <c r="B410" s="2" t="s">
        <v>84</v>
      </c>
      <c r="C410" s="2" t="s">
        <v>85</v>
      </c>
      <c r="D410" s="2">
        <v>2</v>
      </c>
      <c r="E410" s="2">
        <v>653</v>
      </c>
      <c r="F410" s="2">
        <v>125</v>
      </c>
      <c r="G410" s="2">
        <v>172668</v>
      </c>
      <c r="H410" s="2">
        <v>7</v>
      </c>
      <c r="I410" s="2" t="s">
        <v>78</v>
      </c>
      <c r="J410" s="3">
        <v>0.191424196018377</v>
      </c>
      <c r="K410" s="21">
        <v>1381.344</v>
      </c>
      <c r="L410" s="21">
        <v>24666.8571428571</v>
      </c>
      <c r="M410" s="21">
        <v>93.2857142857143</v>
      </c>
      <c r="N410" s="2" t="s">
        <v>79</v>
      </c>
    </row>
    <row r="411" s="2" customFormat="1" spans="1:14">
      <c r="A411" s="20">
        <v>45797</v>
      </c>
      <c r="B411" s="2" t="s">
        <v>84</v>
      </c>
      <c r="C411" s="2" t="s">
        <v>85</v>
      </c>
      <c r="D411" s="2">
        <v>2</v>
      </c>
      <c r="E411" s="2">
        <v>870</v>
      </c>
      <c r="F411" s="2">
        <v>167</v>
      </c>
      <c r="G411" s="2">
        <v>248292</v>
      </c>
      <c r="H411" s="2">
        <v>4</v>
      </c>
      <c r="I411" s="2" t="s">
        <v>78</v>
      </c>
      <c r="J411" s="3">
        <v>0.191954022988506</v>
      </c>
      <c r="K411" s="21">
        <v>1486.77844311377</v>
      </c>
      <c r="L411" s="21">
        <v>62073</v>
      </c>
      <c r="M411" s="21">
        <v>217.5</v>
      </c>
      <c r="N411" s="2" t="s">
        <v>79</v>
      </c>
    </row>
    <row r="412" s="2" customFormat="1" spans="1:14">
      <c r="A412" s="20">
        <v>45798</v>
      </c>
      <c r="B412" s="2" t="s">
        <v>84</v>
      </c>
      <c r="C412" s="2" t="s">
        <v>85</v>
      </c>
      <c r="D412" s="2">
        <v>2</v>
      </c>
      <c r="E412" s="2">
        <v>655</v>
      </c>
      <c r="F412" s="2">
        <v>134</v>
      </c>
      <c r="G412" s="2">
        <v>175733</v>
      </c>
      <c r="H412" s="2">
        <v>9</v>
      </c>
      <c r="I412" s="2" t="s">
        <v>78</v>
      </c>
      <c r="J412" s="3">
        <v>0.204580152671756</v>
      </c>
      <c r="K412" s="21">
        <v>1311.44029850746</v>
      </c>
      <c r="L412" s="21">
        <v>19525.8888888889</v>
      </c>
      <c r="M412" s="21">
        <v>72.7777777777778</v>
      </c>
      <c r="N412" s="2" t="s">
        <v>79</v>
      </c>
    </row>
    <row r="413" s="2" customFormat="1" spans="1:14">
      <c r="A413" s="20">
        <v>45799</v>
      </c>
      <c r="B413" s="2" t="s">
        <v>84</v>
      </c>
      <c r="C413" s="2" t="s">
        <v>85</v>
      </c>
      <c r="D413" s="2">
        <v>2</v>
      </c>
      <c r="E413" s="2">
        <v>618</v>
      </c>
      <c r="F413" s="2">
        <v>128</v>
      </c>
      <c r="G413" s="2">
        <v>165793</v>
      </c>
      <c r="H413" s="2">
        <v>4</v>
      </c>
      <c r="I413" s="2" t="s">
        <v>78</v>
      </c>
      <c r="J413" s="3">
        <v>0.207119741100324</v>
      </c>
      <c r="K413" s="21">
        <v>1295.2578125</v>
      </c>
      <c r="L413" s="21">
        <v>41448.25</v>
      </c>
      <c r="M413" s="21">
        <v>154.5</v>
      </c>
      <c r="N413" s="2" t="s">
        <v>79</v>
      </c>
    </row>
    <row r="414" s="2" customFormat="1" spans="1:14">
      <c r="A414" s="20">
        <v>45800</v>
      </c>
      <c r="B414" s="2" t="s">
        <v>84</v>
      </c>
      <c r="C414" s="2" t="s">
        <v>85</v>
      </c>
      <c r="D414" s="2">
        <v>2</v>
      </c>
      <c r="E414" s="2">
        <v>619</v>
      </c>
      <c r="F414" s="2">
        <v>132</v>
      </c>
      <c r="G414" s="2">
        <v>173178</v>
      </c>
      <c r="H414" s="2">
        <v>4</v>
      </c>
      <c r="I414" s="2" t="s">
        <v>78</v>
      </c>
      <c r="J414" s="3">
        <v>0.213247172859451</v>
      </c>
      <c r="K414" s="21">
        <v>1311.95454545455</v>
      </c>
      <c r="L414" s="21">
        <v>43294.5</v>
      </c>
      <c r="M414" s="21">
        <v>154.75</v>
      </c>
      <c r="N414" s="2" t="s">
        <v>79</v>
      </c>
    </row>
    <row r="415" s="2" customFormat="1" spans="1:14">
      <c r="A415" s="20">
        <v>45801</v>
      </c>
      <c r="B415" s="2" t="s">
        <v>84</v>
      </c>
      <c r="C415" s="2" t="s">
        <v>85</v>
      </c>
      <c r="D415" s="2">
        <v>2</v>
      </c>
      <c r="E415" s="2">
        <v>892</v>
      </c>
      <c r="F415" s="2">
        <v>200</v>
      </c>
      <c r="G415" s="2">
        <v>313086</v>
      </c>
      <c r="H415" s="2">
        <v>9</v>
      </c>
      <c r="I415" s="2" t="s">
        <v>78</v>
      </c>
      <c r="J415" s="3">
        <v>0.224215246636771</v>
      </c>
      <c r="K415" s="21">
        <v>1565.43</v>
      </c>
      <c r="L415" s="21">
        <v>34787.3333333333</v>
      </c>
      <c r="M415" s="21">
        <v>99.1111111111111</v>
      </c>
      <c r="N415" s="2" t="s">
        <v>80</v>
      </c>
    </row>
    <row r="416" s="2" customFormat="1" spans="1:14">
      <c r="A416" s="20">
        <v>45802</v>
      </c>
      <c r="B416" s="2" t="s">
        <v>84</v>
      </c>
      <c r="C416" s="2" t="s">
        <v>85</v>
      </c>
      <c r="D416" s="2">
        <v>2</v>
      </c>
      <c r="E416" s="2">
        <v>1273</v>
      </c>
      <c r="F416" s="2">
        <v>272</v>
      </c>
      <c r="G416" s="2">
        <v>373272</v>
      </c>
      <c r="H416" s="2">
        <v>4</v>
      </c>
      <c r="I416" s="2" t="s">
        <v>78</v>
      </c>
      <c r="J416" s="3">
        <v>0.213668499607227</v>
      </c>
      <c r="K416" s="21">
        <v>1372.32352941177</v>
      </c>
      <c r="L416" s="21">
        <v>93318</v>
      </c>
      <c r="M416" s="21">
        <v>318.25</v>
      </c>
      <c r="N416" s="2" t="s">
        <v>80</v>
      </c>
    </row>
    <row r="417" s="2" customFormat="1" spans="1:14">
      <c r="A417" s="20">
        <v>45803</v>
      </c>
      <c r="B417" s="2" t="s">
        <v>84</v>
      </c>
      <c r="C417" s="2" t="s">
        <v>85</v>
      </c>
      <c r="D417" s="2">
        <v>2</v>
      </c>
      <c r="E417" s="2">
        <v>700</v>
      </c>
      <c r="F417" s="2">
        <v>150</v>
      </c>
      <c r="G417" s="2">
        <v>224736</v>
      </c>
      <c r="H417" s="2">
        <v>9</v>
      </c>
      <c r="I417" s="2" t="s">
        <v>78</v>
      </c>
      <c r="J417" s="3">
        <v>0.214285714285714</v>
      </c>
      <c r="K417" s="21">
        <v>1498.24</v>
      </c>
      <c r="L417" s="21">
        <v>24970.6666666667</v>
      </c>
      <c r="M417" s="21">
        <v>77.7777777777778</v>
      </c>
      <c r="N417" s="2" t="s">
        <v>79</v>
      </c>
    </row>
    <row r="418" s="2" customFormat="1" spans="1:14">
      <c r="A418" s="20">
        <v>45804</v>
      </c>
      <c r="B418" s="2" t="s">
        <v>84</v>
      </c>
      <c r="C418" s="2" t="s">
        <v>85</v>
      </c>
      <c r="D418" s="2">
        <v>2</v>
      </c>
      <c r="E418" s="2">
        <v>613</v>
      </c>
      <c r="F418" s="2">
        <v>114</v>
      </c>
      <c r="G418" s="2">
        <v>185933</v>
      </c>
      <c r="H418" s="2">
        <v>5</v>
      </c>
      <c r="I418" s="2" t="s">
        <v>78</v>
      </c>
      <c r="J418" s="3">
        <v>0.185970636215334</v>
      </c>
      <c r="K418" s="21">
        <v>1630.99122807018</v>
      </c>
      <c r="L418" s="21">
        <v>37186.6</v>
      </c>
      <c r="M418" s="21">
        <v>122.6</v>
      </c>
      <c r="N418" s="2" t="s">
        <v>79</v>
      </c>
    </row>
    <row r="419" s="2" customFormat="1" spans="1:14">
      <c r="A419" s="20">
        <v>45805</v>
      </c>
      <c r="B419" s="2" t="s">
        <v>84</v>
      </c>
      <c r="C419" s="2" t="s">
        <v>85</v>
      </c>
      <c r="D419" s="2">
        <v>2</v>
      </c>
      <c r="E419" s="2">
        <v>668</v>
      </c>
      <c r="F419" s="2">
        <v>152</v>
      </c>
      <c r="G419" s="2">
        <v>225738</v>
      </c>
      <c r="H419" s="2">
        <v>8</v>
      </c>
      <c r="I419" s="2" t="s">
        <v>78</v>
      </c>
      <c r="J419" s="3">
        <v>0.227544910179641</v>
      </c>
      <c r="K419" s="21">
        <v>1485.11842105263</v>
      </c>
      <c r="L419" s="21">
        <v>28217.25</v>
      </c>
      <c r="M419" s="21">
        <v>83.5</v>
      </c>
      <c r="N419" s="2" t="s">
        <v>79</v>
      </c>
    </row>
    <row r="420" s="2" customFormat="1" spans="1:14">
      <c r="A420" s="20">
        <v>45806</v>
      </c>
      <c r="B420" s="2" t="s">
        <v>84</v>
      </c>
      <c r="C420" s="2" t="s">
        <v>85</v>
      </c>
      <c r="D420" s="2">
        <v>2</v>
      </c>
      <c r="E420" s="2">
        <v>681</v>
      </c>
      <c r="F420" s="2">
        <v>148</v>
      </c>
      <c r="G420" s="2">
        <v>187775</v>
      </c>
      <c r="H420" s="2">
        <v>7</v>
      </c>
      <c r="I420" s="2" t="s">
        <v>78</v>
      </c>
      <c r="J420" s="3">
        <v>0.217327459618209</v>
      </c>
      <c r="K420" s="21">
        <v>1268.75</v>
      </c>
      <c r="L420" s="21">
        <v>26825</v>
      </c>
      <c r="M420" s="21">
        <v>97.2857142857143</v>
      </c>
      <c r="N420" s="2" t="s">
        <v>79</v>
      </c>
    </row>
    <row r="421" s="2" customFormat="1" spans="1:14">
      <c r="A421" s="20">
        <v>45807</v>
      </c>
      <c r="B421" s="2" t="s">
        <v>84</v>
      </c>
      <c r="C421" s="2" t="s">
        <v>85</v>
      </c>
      <c r="D421" s="2">
        <v>2</v>
      </c>
      <c r="E421" s="2">
        <v>670</v>
      </c>
      <c r="F421" s="2">
        <v>141</v>
      </c>
      <c r="G421" s="2">
        <v>168810</v>
      </c>
      <c r="H421" s="2">
        <v>9</v>
      </c>
      <c r="I421" s="2" t="s">
        <v>78</v>
      </c>
      <c r="J421" s="3">
        <v>0.21044776119403</v>
      </c>
      <c r="K421" s="21">
        <v>1197.23404255319</v>
      </c>
      <c r="L421" s="21">
        <v>18756.6666666667</v>
      </c>
      <c r="M421" s="21">
        <v>74.4444444444444</v>
      </c>
      <c r="N421" s="2" t="s">
        <v>79</v>
      </c>
    </row>
    <row r="422" s="2" customFormat="1" spans="1:14">
      <c r="A422" s="20">
        <v>45808</v>
      </c>
      <c r="B422" s="2" t="s">
        <v>84</v>
      </c>
      <c r="C422" s="2" t="s">
        <v>85</v>
      </c>
      <c r="D422" s="2">
        <v>2</v>
      </c>
      <c r="E422" s="2">
        <v>897</v>
      </c>
      <c r="F422" s="2">
        <v>177</v>
      </c>
      <c r="G422" s="2">
        <v>246418</v>
      </c>
      <c r="H422" s="2">
        <v>5</v>
      </c>
      <c r="I422" s="2" t="s">
        <v>78</v>
      </c>
      <c r="J422" s="3">
        <v>0.197324414715719</v>
      </c>
      <c r="K422" s="21">
        <v>1392.19209039548</v>
      </c>
      <c r="L422" s="21">
        <v>49283.6</v>
      </c>
      <c r="M422" s="21">
        <v>179.4</v>
      </c>
      <c r="N422" s="2" t="s">
        <v>80</v>
      </c>
    </row>
    <row r="423" s="2" customFormat="1" spans="1:14">
      <c r="A423" s="20">
        <v>45809</v>
      </c>
      <c r="B423" s="2" t="s">
        <v>84</v>
      </c>
      <c r="C423" s="2" t="s">
        <v>85</v>
      </c>
      <c r="D423" s="2">
        <v>2</v>
      </c>
      <c r="E423" s="2">
        <v>769</v>
      </c>
      <c r="F423" s="2">
        <v>175</v>
      </c>
      <c r="G423" s="2">
        <v>194489</v>
      </c>
      <c r="H423" s="2">
        <v>9</v>
      </c>
      <c r="I423" s="2" t="s">
        <v>78</v>
      </c>
      <c r="J423" s="3">
        <v>0.227568270481144</v>
      </c>
      <c r="K423" s="21">
        <v>1111.36571428571</v>
      </c>
      <c r="L423" s="21">
        <v>21609.8888888889</v>
      </c>
      <c r="M423" s="21">
        <v>85.4444444444444</v>
      </c>
      <c r="N423" s="2" t="s">
        <v>80</v>
      </c>
    </row>
    <row r="424" s="2" customFormat="1" spans="1:14">
      <c r="A424" s="20">
        <v>45810</v>
      </c>
      <c r="B424" s="2" t="s">
        <v>84</v>
      </c>
      <c r="C424" s="2" t="s">
        <v>85</v>
      </c>
      <c r="D424" s="2">
        <v>2</v>
      </c>
      <c r="E424" s="2">
        <v>715</v>
      </c>
      <c r="F424" s="2">
        <v>154</v>
      </c>
      <c r="G424" s="2">
        <v>257165</v>
      </c>
      <c r="H424" s="2">
        <v>5</v>
      </c>
      <c r="I424" s="2" t="s">
        <v>81</v>
      </c>
      <c r="J424" s="3">
        <v>0.215384615384615</v>
      </c>
      <c r="K424" s="21">
        <v>1669.9025974026</v>
      </c>
      <c r="L424" s="21">
        <v>51433</v>
      </c>
      <c r="M424" s="21">
        <v>143</v>
      </c>
      <c r="N424" s="2" t="s">
        <v>79</v>
      </c>
    </row>
    <row r="425" s="2" customFormat="1" spans="1:14">
      <c r="A425" s="20">
        <v>45811</v>
      </c>
      <c r="B425" s="2" t="s">
        <v>84</v>
      </c>
      <c r="C425" s="2" t="s">
        <v>85</v>
      </c>
      <c r="D425" s="2">
        <v>2</v>
      </c>
      <c r="E425" s="2">
        <v>625</v>
      </c>
      <c r="F425" s="2">
        <v>120</v>
      </c>
      <c r="G425" s="2">
        <v>167844</v>
      </c>
      <c r="H425" s="2">
        <v>5</v>
      </c>
      <c r="I425" s="2" t="s">
        <v>78</v>
      </c>
      <c r="J425" s="3">
        <v>0.192</v>
      </c>
      <c r="K425" s="21">
        <v>1398.7</v>
      </c>
      <c r="L425" s="21">
        <v>33568.8</v>
      </c>
      <c r="M425" s="21">
        <v>125</v>
      </c>
      <c r="N425" s="2" t="s">
        <v>79</v>
      </c>
    </row>
    <row r="426" s="2" customFormat="1" spans="1:14">
      <c r="A426" s="20">
        <v>45812</v>
      </c>
      <c r="B426" s="2" t="s">
        <v>84</v>
      </c>
      <c r="C426" s="2" t="s">
        <v>85</v>
      </c>
      <c r="D426" s="2">
        <v>2</v>
      </c>
      <c r="E426" s="2">
        <v>669</v>
      </c>
      <c r="F426" s="2">
        <v>123</v>
      </c>
      <c r="G426" s="2">
        <v>189594</v>
      </c>
      <c r="H426" s="2">
        <v>5</v>
      </c>
      <c r="I426" s="2" t="s">
        <v>78</v>
      </c>
      <c r="J426" s="3">
        <v>0.183856502242152</v>
      </c>
      <c r="K426" s="21">
        <v>1541.41463414634</v>
      </c>
      <c r="L426" s="21">
        <v>37918.8</v>
      </c>
      <c r="M426" s="21">
        <v>133.8</v>
      </c>
      <c r="N426" s="2" t="s">
        <v>79</v>
      </c>
    </row>
    <row r="427" s="2" customFormat="1" spans="1:14">
      <c r="A427" s="20">
        <v>45813</v>
      </c>
      <c r="B427" s="2" t="s">
        <v>84</v>
      </c>
      <c r="C427" s="2" t="s">
        <v>85</v>
      </c>
      <c r="D427" s="2">
        <v>2</v>
      </c>
      <c r="E427" s="2">
        <v>636</v>
      </c>
      <c r="F427" s="2">
        <v>136</v>
      </c>
      <c r="G427" s="2">
        <v>213408</v>
      </c>
      <c r="H427" s="2">
        <v>7</v>
      </c>
      <c r="I427" s="2" t="s">
        <v>78</v>
      </c>
      <c r="J427" s="3">
        <v>0.213836477987421</v>
      </c>
      <c r="K427" s="21">
        <v>1569.17647058823</v>
      </c>
      <c r="L427" s="21">
        <v>30486.8571428571</v>
      </c>
      <c r="M427" s="21">
        <v>90.8571428571429</v>
      </c>
      <c r="N427" s="2" t="s">
        <v>79</v>
      </c>
    </row>
    <row r="428" s="2" customFormat="1" spans="1:14">
      <c r="A428" s="20">
        <v>45814</v>
      </c>
      <c r="B428" s="2" t="s">
        <v>84</v>
      </c>
      <c r="C428" s="2" t="s">
        <v>85</v>
      </c>
      <c r="D428" s="2">
        <v>2</v>
      </c>
      <c r="E428" s="2">
        <v>640</v>
      </c>
      <c r="F428" s="2">
        <v>124</v>
      </c>
      <c r="G428" s="2">
        <v>189178</v>
      </c>
      <c r="H428" s="2">
        <v>9</v>
      </c>
      <c r="I428" s="2" t="s">
        <v>78</v>
      </c>
      <c r="J428" s="3">
        <v>0.19375</v>
      </c>
      <c r="K428" s="21">
        <v>1525.62903225807</v>
      </c>
      <c r="L428" s="21">
        <v>21019.7777777778</v>
      </c>
      <c r="M428" s="21">
        <v>71.1111111111111</v>
      </c>
      <c r="N428" s="2" t="s">
        <v>79</v>
      </c>
    </row>
    <row r="429" s="2" customFormat="1" spans="1:14">
      <c r="A429" s="20">
        <v>45815</v>
      </c>
      <c r="B429" s="2" t="s">
        <v>84</v>
      </c>
      <c r="C429" s="2" t="s">
        <v>85</v>
      </c>
      <c r="D429" s="2">
        <v>2</v>
      </c>
      <c r="E429" s="2">
        <v>1026</v>
      </c>
      <c r="F429" s="2">
        <v>221</v>
      </c>
      <c r="G429" s="2">
        <v>309030</v>
      </c>
      <c r="H429" s="2">
        <v>8</v>
      </c>
      <c r="I429" s="2" t="s">
        <v>78</v>
      </c>
      <c r="J429" s="3">
        <v>0.215399610136452</v>
      </c>
      <c r="K429" s="21">
        <v>1398.3257918552</v>
      </c>
      <c r="L429" s="21">
        <v>38628.75</v>
      </c>
      <c r="M429" s="21">
        <v>128.25</v>
      </c>
      <c r="N429" s="2" t="s">
        <v>80</v>
      </c>
    </row>
    <row r="430" s="2" customFormat="1" spans="1:14">
      <c r="A430" s="20">
        <v>45816</v>
      </c>
      <c r="B430" s="2" t="s">
        <v>84</v>
      </c>
      <c r="C430" s="2" t="s">
        <v>85</v>
      </c>
      <c r="D430" s="2">
        <v>2</v>
      </c>
      <c r="E430" s="2">
        <v>842</v>
      </c>
      <c r="F430" s="2">
        <v>178</v>
      </c>
      <c r="G430" s="2">
        <v>204347</v>
      </c>
      <c r="H430" s="2">
        <v>9</v>
      </c>
      <c r="I430" s="2" t="s">
        <v>78</v>
      </c>
      <c r="J430" s="3">
        <v>0.211401425178147</v>
      </c>
      <c r="K430" s="21">
        <v>1148.01685393258</v>
      </c>
      <c r="L430" s="21">
        <v>22705.2222222222</v>
      </c>
      <c r="M430" s="21">
        <v>93.5555555555556</v>
      </c>
      <c r="N430" s="2" t="s">
        <v>80</v>
      </c>
    </row>
    <row r="431" s="2" customFormat="1" spans="1:14">
      <c r="A431" s="20">
        <v>45817</v>
      </c>
      <c r="B431" s="2" t="s">
        <v>84</v>
      </c>
      <c r="C431" s="2" t="s">
        <v>85</v>
      </c>
      <c r="D431" s="2">
        <v>2</v>
      </c>
      <c r="E431" s="2">
        <v>691</v>
      </c>
      <c r="F431" s="2">
        <v>137</v>
      </c>
      <c r="G431" s="2">
        <v>207855</v>
      </c>
      <c r="H431" s="2">
        <v>8</v>
      </c>
      <c r="I431" s="2" t="s">
        <v>78</v>
      </c>
      <c r="J431" s="3">
        <v>0.198263386396527</v>
      </c>
      <c r="K431" s="21">
        <v>1517.1897810219</v>
      </c>
      <c r="L431" s="21">
        <v>25981.875</v>
      </c>
      <c r="M431" s="21">
        <v>86.375</v>
      </c>
      <c r="N431" s="2" t="s">
        <v>79</v>
      </c>
    </row>
    <row r="432" s="2" customFormat="1" spans="1:14">
      <c r="A432" s="20">
        <v>45818</v>
      </c>
      <c r="B432" s="2" t="s">
        <v>84</v>
      </c>
      <c r="C432" s="2" t="s">
        <v>85</v>
      </c>
      <c r="D432" s="2">
        <v>2</v>
      </c>
      <c r="E432" s="2">
        <v>584</v>
      </c>
      <c r="F432" s="2">
        <v>109</v>
      </c>
      <c r="G432" s="2">
        <v>159285</v>
      </c>
      <c r="H432" s="2">
        <v>4</v>
      </c>
      <c r="I432" s="2" t="s">
        <v>78</v>
      </c>
      <c r="J432" s="3">
        <v>0.186643835616438</v>
      </c>
      <c r="K432" s="21">
        <v>1461.33027522936</v>
      </c>
      <c r="L432" s="21">
        <v>39821.25</v>
      </c>
      <c r="M432" s="21">
        <v>146</v>
      </c>
      <c r="N432" s="2" t="s">
        <v>79</v>
      </c>
    </row>
    <row r="433" s="2" customFormat="1" spans="1:14">
      <c r="A433" s="20">
        <v>45819</v>
      </c>
      <c r="B433" s="2" t="s">
        <v>84</v>
      </c>
      <c r="C433" s="2" t="s">
        <v>85</v>
      </c>
      <c r="D433" s="2">
        <v>2</v>
      </c>
      <c r="E433" s="2">
        <v>609</v>
      </c>
      <c r="F433" s="2">
        <v>118</v>
      </c>
      <c r="G433" s="2">
        <v>189681</v>
      </c>
      <c r="H433" s="2">
        <v>8</v>
      </c>
      <c r="I433" s="2" t="s">
        <v>78</v>
      </c>
      <c r="J433" s="3">
        <v>0.19376026272578</v>
      </c>
      <c r="K433" s="21">
        <v>1607.46610169492</v>
      </c>
      <c r="L433" s="21">
        <v>23710.125</v>
      </c>
      <c r="M433" s="21">
        <v>76.125</v>
      </c>
      <c r="N433" s="2" t="s">
        <v>79</v>
      </c>
    </row>
    <row r="434" s="2" customFormat="1" spans="1:14">
      <c r="A434" s="20">
        <v>45820</v>
      </c>
      <c r="B434" s="2" t="s">
        <v>84</v>
      </c>
      <c r="C434" s="2" t="s">
        <v>85</v>
      </c>
      <c r="D434" s="2">
        <v>2</v>
      </c>
      <c r="E434" s="2">
        <v>644</v>
      </c>
      <c r="F434" s="2">
        <v>127</v>
      </c>
      <c r="G434" s="2">
        <v>148518</v>
      </c>
      <c r="H434" s="2">
        <v>9</v>
      </c>
      <c r="I434" s="2" t="s">
        <v>78</v>
      </c>
      <c r="J434" s="3">
        <v>0.197204968944099</v>
      </c>
      <c r="K434" s="21">
        <v>1169.43307086614</v>
      </c>
      <c r="L434" s="21">
        <v>16502</v>
      </c>
      <c r="M434" s="21">
        <v>71.5555555555556</v>
      </c>
      <c r="N434" s="2" t="s">
        <v>79</v>
      </c>
    </row>
    <row r="435" s="2" customFormat="1" spans="1:14">
      <c r="A435" s="20">
        <v>45821</v>
      </c>
      <c r="B435" s="2" t="s">
        <v>84</v>
      </c>
      <c r="C435" s="2" t="s">
        <v>85</v>
      </c>
      <c r="D435" s="2">
        <v>2</v>
      </c>
      <c r="E435" s="2">
        <v>639</v>
      </c>
      <c r="F435" s="2">
        <v>126</v>
      </c>
      <c r="G435" s="2">
        <v>166687</v>
      </c>
      <c r="H435" s="2">
        <v>6</v>
      </c>
      <c r="I435" s="2" t="s">
        <v>78</v>
      </c>
      <c r="J435" s="3">
        <v>0.197183098591549</v>
      </c>
      <c r="K435" s="21">
        <v>1322.9126984127</v>
      </c>
      <c r="L435" s="21">
        <v>27781.1666666667</v>
      </c>
      <c r="M435" s="21">
        <v>106.5</v>
      </c>
      <c r="N435" s="2" t="s">
        <v>79</v>
      </c>
    </row>
    <row r="436" s="2" customFormat="1" spans="1:14">
      <c r="A436" s="20">
        <v>45822</v>
      </c>
      <c r="B436" s="2" t="s">
        <v>84</v>
      </c>
      <c r="C436" s="2" t="s">
        <v>85</v>
      </c>
      <c r="D436" s="2">
        <v>2</v>
      </c>
      <c r="E436" s="2">
        <v>1013</v>
      </c>
      <c r="F436" s="2">
        <v>186</v>
      </c>
      <c r="G436" s="2">
        <v>284127</v>
      </c>
      <c r="H436" s="2">
        <v>6</v>
      </c>
      <c r="I436" s="2" t="s">
        <v>81</v>
      </c>
      <c r="J436" s="3">
        <v>0.183613030602172</v>
      </c>
      <c r="K436" s="21">
        <v>1527.56451612903</v>
      </c>
      <c r="L436" s="21">
        <v>47354.5</v>
      </c>
      <c r="M436" s="21">
        <v>168.833333333333</v>
      </c>
      <c r="N436" s="2" t="s">
        <v>80</v>
      </c>
    </row>
    <row r="437" s="2" customFormat="1" spans="1:14">
      <c r="A437" s="20">
        <v>45823</v>
      </c>
      <c r="B437" s="2" t="s">
        <v>84</v>
      </c>
      <c r="C437" s="2" t="s">
        <v>85</v>
      </c>
      <c r="D437" s="2">
        <v>2</v>
      </c>
      <c r="E437" s="2">
        <v>865</v>
      </c>
      <c r="F437" s="2">
        <v>174</v>
      </c>
      <c r="G437" s="2">
        <v>245827</v>
      </c>
      <c r="H437" s="2">
        <v>4</v>
      </c>
      <c r="I437" s="2" t="s">
        <v>78</v>
      </c>
      <c r="J437" s="3">
        <v>0.201156069364162</v>
      </c>
      <c r="K437" s="21">
        <v>1412.79885057471</v>
      </c>
      <c r="L437" s="21">
        <v>61456.75</v>
      </c>
      <c r="M437" s="21">
        <v>216.25</v>
      </c>
      <c r="N437" s="2" t="s">
        <v>80</v>
      </c>
    </row>
    <row r="438" s="2" customFormat="1" spans="1:14">
      <c r="A438" s="20">
        <v>45824</v>
      </c>
      <c r="B438" s="2" t="s">
        <v>84</v>
      </c>
      <c r="C438" s="2" t="s">
        <v>85</v>
      </c>
      <c r="D438" s="2">
        <v>2</v>
      </c>
      <c r="E438" s="2">
        <v>558</v>
      </c>
      <c r="F438" s="2">
        <v>114</v>
      </c>
      <c r="G438" s="2">
        <v>176000</v>
      </c>
      <c r="H438" s="2">
        <v>4</v>
      </c>
      <c r="I438" s="2" t="s">
        <v>78</v>
      </c>
      <c r="J438" s="3">
        <v>0.204301075268817</v>
      </c>
      <c r="K438" s="21">
        <v>1543.85964912281</v>
      </c>
      <c r="L438" s="21">
        <v>44000</v>
      </c>
      <c r="M438" s="21">
        <v>139.5</v>
      </c>
      <c r="N438" s="2" t="s">
        <v>79</v>
      </c>
    </row>
    <row r="439" s="2" customFormat="1" spans="1:14">
      <c r="A439" s="20">
        <v>45825</v>
      </c>
      <c r="B439" s="2" t="s">
        <v>84</v>
      </c>
      <c r="C439" s="2" t="s">
        <v>85</v>
      </c>
      <c r="D439" s="2">
        <v>2</v>
      </c>
      <c r="E439" s="2">
        <v>650</v>
      </c>
      <c r="F439" s="2">
        <v>120</v>
      </c>
      <c r="G439" s="2">
        <v>155442</v>
      </c>
      <c r="H439" s="2">
        <v>5</v>
      </c>
      <c r="I439" s="2" t="s">
        <v>78</v>
      </c>
      <c r="J439" s="3">
        <v>0.184615384615385</v>
      </c>
      <c r="K439" s="21">
        <v>1295.35</v>
      </c>
      <c r="L439" s="21">
        <v>31088.4</v>
      </c>
      <c r="M439" s="21">
        <v>130</v>
      </c>
      <c r="N439" s="2" t="s">
        <v>79</v>
      </c>
    </row>
    <row r="440" s="2" customFormat="1" spans="1:14">
      <c r="A440" s="20">
        <v>45826</v>
      </c>
      <c r="B440" s="2" t="s">
        <v>84</v>
      </c>
      <c r="C440" s="2" t="s">
        <v>85</v>
      </c>
      <c r="D440" s="2">
        <v>2</v>
      </c>
      <c r="E440" s="2">
        <v>623</v>
      </c>
      <c r="F440" s="2">
        <v>126</v>
      </c>
      <c r="G440" s="2">
        <v>142588</v>
      </c>
      <c r="H440" s="2">
        <v>8</v>
      </c>
      <c r="I440" s="2" t="s">
        <v>81</v>
      </c>
      <c r="J440" s="3">
        <v>0.202247191011236</v>
      </c>
      <c r="K440" s="21">
        <v>1131.65079365079</v>
      </c>
      <c r="L440" s="21">
        <v>17823.5</v>
      </c>
      <c r="M440" s="21">
        <v>77.875</v>
      </c>
      <c r="N440" s="2" t="s">
        <v>79</v>
      </c>
    </row>
    <row r="441" s="2" customFormat="1" spans="1:14">
      <c r="A441" s="20">
        <v>45827</v>
      </c>
      <c r="B441" s="2" t="s">
        <v>84</v>
      </c>
      <c r="C441" s="2" t="s">
        <v>85</v>
      </c>
      <c r="D441" s="2">
        <v>2</v>
      </c>
      <c r="E441" s="2">
        <v>714</v>
      </c>
      <c r="F441" s="2">
        <v>136</v>
      </c>
      <c r="G441" s="2">
        <v>213540</v>
      </c>
      <c r="H441" s="2">
        <v>4</v>
      </c>
      <c r="I441" s="2" t="s">
        <v>78</v>
      </c>
      <c r="J441" s="3">
        <v>0.19047619047619</v>
      </c>
      <c r="K441" s="21">
        <v>1570.14705882353</v>
      </c>
      <c r="L441" s="21">
        <v>53385</v>
      </c>
      <c r="M441" s="21">
        <v>178.5</v>
      </c>
      <c r="N441" s="2" t="s">
        <v>79</v>
      </c>
    </row>
    <row r="442" s="2" customFormat="1" spans="1:14">
      <c r="A442" s="20">
        <v>45828</v>
      </c>
      <c r="B442" s="2" t="s">
        <v>84</v>
      </c>
      <c r="C442" s="2" t="s">
        <v>85</v>
      </c>
      <c r="D442" s="2">
        <v>2</v>
      </c>
      <c r="E442" s="2">
        <v>788</v>
      </c>
      <c r="F442" s="2">
        <v>163</v>
      </c>
      <c r="G442" s="2">
        <v>263815</v>
      </c>
      <c r="H442" s="2">
        <v>5</v>
      </c>
      <c r="I442" s="2" t="s">
        <v>78</v>
      </c>
      <c r="J442" s="3">
        <v>0.206852791878173</v>
      </c>
      <c r="K442" s="21">
        <v>1618.49693251534</v>
      </c>
      <c r="L442" s="21">
        <v>52763</v>
      </c>
      <c r="M442" s="21">
        <v>157.6</v>
      </c>
      <c r="N442" s="2" t="s">
        <v>79</v>
      </c>
    </row>
    <row r="443" s="2" customFormat="1" spans="1:14">
      <c r="A443" s="20">
        <v>45829</v>
      </c>
      <c r="B443" s="2" t="s">
        <v>84</v>
      </c>
      <c r="C443" s="2" t="s">
        <v>85</v>
      </c>
      <c r="D443" s="2">
        <v>2</v>
      </c>
      <c r="E443" s="2">
        <v>1119</v>
      </c>
      <c r="F443" s="2">
        <v>199</v>
      </c>
      <c r="G443" s="2">
        <v>328085</v>
      </c>
      <c r="H443" s="2">
        <v>4</v>
      </c>
      <c r="I443" s="2" t="s">
        <v>78</v>
      </c>
      <c r="J443" s="3">
        <v>0.177837354781055</v>
      </c>
      <c r="K443" s="21">
        <v>1648.66834170854</v>
      </c>
      <c r="L443" s="21">
        <v>82021.25</v>
      </c>
      <c r="M443" s="21">
        <v>279.75</v>
      </c>
      <c r="N443" s="2" t="s">
        <v>80</v>
      </c>
    </row>
    <row r="444" s="2" customFormat="1" spans="1:14">
      <c r="A444" s="20">
        <v>45830</v>
      </c>
      <c r="B444" s="2" t="s">
        <v>84</v>
      </c>
      <c r="C444" s="2" t="s">
        <v>85</v>
      </c>
      <c r="D444" s="2">
        <v>2</v>
      </c>
      <c r="E444" s="2">
        <v>888</v>
      </c>
      <c r="F444" s="2">
        <v>186</v>
      </c>
      <c r="G444" s="2">
        <v>249921</v>
      </c>
      <c r="H444" s="2">
        <v>5</v>
      </c>
      <c r="I444" s="2" t="s">
        <v>78</v>
      </c>
      <c r="J444" s="3">
        <v>0.20945945945946</v>
      </c>
      <c r="K444" s="21">
        <v>1343.66129032258</v>
      </c>
      <c r="L444" s="21">
        <v>49984.2</v>
      </c>
      <c r="M444" s="21">
        <v>177.6</v>
      </c>
      <c r="N444" s="2" t="s">
        <v>80</v>
      </c>
    </row>
    <row r="445" s="2" customFormat="1" spans="1:14">
      <c r="A445" s="20">
        <v>45831</v>
      </c>
      <c r="B445" s="2" t="s">
        <v>84</v>
      </c>
      <c r="C445" s="2" t="s">
        <v>85</v>
      </c>
      <c r="D445" s="2">
        <v>2</v>
      </c>
      <c r="E445" s="2">
        <v>596</v>
      </c>
      <c r="F445" s="2">
        <v>113</v>
      </c>
      <c r="G445" s="2">
        <v>124376</v>
      </c>
      <c r="H445" s="2">
        <v>8</v>
      </c>
      <c r="I445" s="2" t="s">
        <v>78</v>
      </c>
      <c r="J445" s="3">
        <v>0.189597315436242</v>
      </c>
      <c r="K445" s="21">
        <v>1100.67256637168</v>
      </c>
      <c r="L445" s="21">
        <v>15547</v>
      </c>
      <c r="M445" s="21">
        <v>74.5</v>
      </c>
      <c r="N445" s="2" t="s">
        <v>79</v>
      </c>
    </row>
    <row r="446" s="2" customFormat="1" spans="1:14">
      <c r="A446" s="20">
        <v>45832</v>
      </c>
      <c r="B446" s="2" t="s">
        <v>84</v>
      </c>
      <c r="C446" s="2" t="s">
        <v>85</v>
      </c>
      <c r="D446" s="2">
        <v>2</v>
      </c>
      <c r="E446" s="2">
        <v>724</v>
      </c>
      <c r="F446" s="2">
        <v>154</v>
      </c>
      <c r="G446" s="2">
        <v>227095</v>
      </c>
      <c r="H446" s="2">
        <v>8</v>
      </c>
      <c r="I446" s="2" t="s">
        <v>78</v>
      </c>
      <c r="J446" s="3">
        <v>0.212707182320442</v>
      </c>
      <c r="K446" s="21">
        <v>1474.64285714286</v>
      </c>
      <c r="L446" s="21">
        <v>28386.875</v>
      </c>
      <c r="M446" s="21">
        <v>90.5</v>
      </c>
      <c r="N446" s="2" t="s">
        <v>79</v>
      </c>
    </row>
    <row r="447" s="2" customFormat="1" spans="1:14">
      <c r="A447" s="20">
        <v>45833</v>
      </c>
      <c r="B447" s="2" t="s">
        <v>84</v>
      </c>
      <c r="C447" s="2" t="s">
        <v>85</v>
      </c>
      <c r="D447" s="2">
        <v>2</v>
      </c>
      <c r="E447" s="2">
        <v>647</v>
      </c>
      <c r="F447" s="2">
        <v>138</v>
      </c>
      <c r="G447" s="2">
        <v>186294</v>
      </c>
      <c r="H447" s="2">
        <v>7</v>
      </c>
      <c r="I447" s="2" t="s">
        <v>78</v>
      </c>
      <c r="J447" s="3">
        <v>0.213292117465224</v>
      </c>
      <c r="K447" s="21">
        <v>1349.95652173913</v>
      </c>
      <c r="L447" s="21">
        <v>26613.4285714286</v>
      </c>
      <c r="M447" s="21">
        <v>92.4285714285714</v>
      </c>
      <c r="N447" s="2" t="s">
        <v>79</v>
      </c>
    </row>
    <row r="448" s="2" customFormat="1" spans="1:14">
      <c r="A448" s="20">
        <v>45834</v>
      </c>
      <c r="B448" s="2" t="s">
        <v>84</v>
      </c>
      <c r="C448" s="2" t="s">
        <v>85</v>
      </c>
      <c r="D448" s="2">
        <v>2</v>
      </c>
      <c r="E448" s="2">
        <v>615</v>
      </c>
      <c r="F448" s="2">
        <v>138</v>
      </c>
      <c r="G448" s="2">
        <v>195636</v>
      </c>
      <c r="H448" s="2">
        <v>7</v>
      </c>
      <c r="I448" s="2" t="s">
        <v>78</v>
      </c>
      <c r="J448" s="3">
        <v>0.224390243902439</v>
      </c>
      <c r="K448" s="21">
        <v>1417.65217391304</v>
      </c>
      <c r="L448" s="21">
        <v>27948</v>
      </c>
      <c r="M448" s="21">
        <v>87.8571428571429</v>
      </c>
      <c r="N448" s="2" t="s">
        <v>79</v>
      </c>
    </row>
    <row r="449" s="2" customFormat="1" spans="1:14">
      <c r="A449" s="20">
        <v>45835</v>
      </c>
      <c r="B449" s="2" t="s">
        <v>84</v>
      </c>
      <c r="C449" s="2" t="s">
        <v>85</v>
      </c>
      <c r="D449" s="2">
        <v>2</v>
      </c>
      <c r="E449" s="2">
        <v>754</v>
      </c>
      <c r="F449" s="2">
        <v>154</v>
      </c>
      <c r="G449" s="2">
        <v>250220</v>
      </c>
      <c r="H449" s="2">
        <v>6</v>
      </c>
      <c r="I449" s="2" t="s">
        <v>78</v>
      </c>
      <c r="J449" s="3">
        <v>0.204244031830239</v>
      </c>
      <c r="K449" s="21">
        <v>1624.8051948052</v>
      </c>
      <c r="L449" s="21">
        <v>41703.3333333333</v>
      </c>
      <c r="M449" s="21">
        <v>125.666666666667</v>
      </c>
      <c r="N449" s="2" t="s">
        <v>79</v>
      </c>
    </row>
    <row r="450" s="2" customFormat="1" spans="1:14">
      <c r="A450" s="20">
        <v>45836</v>
      </c>
      <c r="B450" s="2" t="s">
        <v>84</v>
      </c>
      <c r="C450" s="2" t="s">
        <v>85</v>
      </c>
      <c r="D450" s="2">
        <v>2</v>
      </c>
      <c r="E450" s="2">
        <v>1148</v>
      </c>
      <c r="F450" s="2">
        <v>240</v>
      </c>
      <c r="G450" s="2">
        <v>399688</v>
      </c>
      <c r="H450" s="2">
        <v>9</v>
      </c>
      <c r="I450" s="2" t="s">
        <v>78</v>
      </c>
      <c r="J450" s="3">
        <v>0.209059233449477</v>
      </c>
      <c r="K450" s="21">
        <v>1665.36666666667</v>
      </c>
      <c r="L450" s="21">
        <v>44409.7777777778</v>
      </c>
      <c r="M450" s="21">
        <v>127.555555555556</v>
      </c>
      <c r="N450" s="2" t="s">
        <v>80</v>
      </c>
    </row>
    <row r="451" s="2" customFormat="1" spans="1:14">
      <c r="A451" s="20">
        <v>45837</v>
      </c>
      <c r="B451" s="2" t="s">
        <v>84</v>
      </c>
      <c r="C451" s="2" t="s">
        <v>85</v>
      </c>
      <c r="D451" s="2">
        <v>2</v>
      </c>
      <c r="E451" s="2">
        <v>966</v>
      </c>
      <c r="F451" s="2">
        <v>196</v>
      </c>
      <c r="G451" s="2">
        <v>319137</v>
      </c>
      <c r="H451" s="2">
        <v>9</v>
      </c>
      <c r="I451" s="2" t="s">
        <v>78</v>
      </c>
      <c r="J451" s="3">
        <v>0.202898550724638</v>
      </c>
      <c r="K451" s="21">
        <v>1628.25</v>
      </c>
      <c r="L451" s="21">
        <v>35459.6666666667</v>
      </c>
      <c r="M451" s="21">
        <v>107.333333333333</v>
      </c>
      <c r="N451" s="2" t="s">
        <v>80</v>
      </c>
    </row>
    <row r="452" s="2" customFormat="1" spans="1:14">
      <c r="A452" s="20">
        <v>45838</v>
      </c>
      <c r="B452" s="2" t="s">
        <v>84</v>
      </c>
      <c r="C452" s="2" t="s">
        <v>85</v>
      </c>
      <c r="D452" s="2">
        <v>2</v>
      </c>
      <c r="E452" s="2">
        <v>644</v>
      </c>
      <c r="F452" s="2">
        <v>117</v>
      </c>
      <c r="G452" s="2">
        <v>146682</v>
      </c>
      <c r="H452" s="2">
        <v>5</v>
      </c>
      <c r="I452" s="2" t="s">
        <v>78</v>
      </c>
      <c r="J452" s="3">
        <v>0.18167701863354</v>
      </c>
      <c r="K452" s="21">
        <v>1253.69230769231</v>
      </c>
      <c r="L452" s="21">
        <v>29336.4</v>
      </c>
      <c r="M452" s="21">
        <v>128.8</v>
      </c>
      <c r="N452" s="2" t="s">
        <v>79</v>
      </c>
    </row>
    <row r="453" s="2" customFormat="1" spans="1:14">
      <c r="A453" s="20">
        <v>45839</v>
      </c>
      <c r="B453" s="2" t="s">
        <v>84</v>
      </c>
      <c r="C453" s="2" t="s">
        <v>85</v>
      </c>
      <c r="D453" s="2">
        <v>2</v>
      </c>
      <c r="E453" s="2">
        <v>598</v>
      </c>
      <c r="F453" s="2">
        <v>120</v>
      </c>
      <c r="G453" s="2">
        <v>148069</v>
      </c>
      <c r="H453" s="2">
        <v>4</v>
      </c>
      <c r="I453" s="2" t="s">
        <v>81</v>
      </c>
      <c r="J453" s="3">
        <v>0.20066889632107</v>
      </c>
      <c r="K453" s="21">
        <v>1233.90833333333</v>
      </c>
      <c r="L453" s="21">
        <v>37017.25</v>
      </c>
      <c r="M453" s="21">
        <v>149.5</v>
      </c>
      <c r="N453" s="2" t="s">
        <v>79</v>
      </c>
    </row>
    <row r="454" s="2" customFormat="1" spans="1:14">
      <c r="A454" s="20">
        <v>45840</v>
      </c>
      <c r="B454" s="2" t="s">
        <v>84</v>
      </c>
      <c r="C454" s="2" t="s">
        <v>85</v>
      </c>
      <c r="D454" s="2">
        <v>2</v>
      </c>
      <c r="E454" s="2">
        <v>816</v>
      </c>
      <c r="F454" s="2">
        <v>149</v>
      </c>
      <c r="G454" s="2">
        <v>235436</v>
      </c>
      <c r="H454" s="2">
        <v>5</v>
      </c>
      <c r="I454" s="2" t="s">
        <v>78</v>
      </c>
      <c r="J454" s="3">
        <v>0.182598039215686</v>
      </c>
      <c r="K454" s="21">
        <v>1580.10738255034</v>
      </c>
      <c r="L454" s="21">
        <v>47087.2</v>
      </c>
      <c r="M454" s="21">
        <v>163.2</v>
      </c>
      <c r="N454" s="2" t="s">
        <v>79</v>
      </c>
    </row>
    <row r="455" s="2" customFormat="1" spans="1:14">
      <c r="A455" s="20">
        <v>45841</v>
      </c>
      <c r="B455" s="2" t="s">
        <v>84</v>
      </c>
      <c r="C455" s="2" t="s">
        <v>85</v>
      </c>
      <c r="D455" s="2">
        <v>2</v>
      </c>
      <c r="E455" s="2">
        <v>741</v>
      </c>
      <c r="F455" s="2">
        <v>139</v>
      </c>
      <c r="G455" s="2">
        <v>194754</v>
      </c>
      <c r="H455" s="2">
        <v>7</v>
      </c>
      <c r="I455" s="2" t="s">
        <v>78</v>
      </c>
      <c r="J455" s="3">
        <v>0.187584345479082</v>
      </c>
      <c r="K455" s="21">
        <v>1401.10791366907</v>
      </c>
      <c r="L455" s="21">
        <v>27822</v>
      </c>
      <c r="M455" s="21">
        <v>105.857142857143</v>
      </c>
      <c r="N455" s="2" t="s">
        <v>79</v>
      </c>
    </row>
    <row r="456" s="2" customFormat="1" spans="1:14">
      <c r="A456" s="20">
        <v>45842</v>
      </c>
      <c r="B456" s="2" t="s">
        <v>84</v>
      </c>
      <c r="C456" s="2" t="s">
        <v>85</v>
      </c>
      <c r="D456" s="2">
        <v>2</v>
      </c>
      <c r="E456" s="2">
        <v>629</v>
      </c>
      <c r="F456" s="2">
        <v>118</v>
      </c>
      <c r="G456" s="2">
        <v>179165</v>
      </c>
      <c r="H456" s="2">
        <v>5</v>
      </c>
      <c r="I456" s="2" t="s">
        <v>78</v>
      </c>
      <c r="J456" s="3">
        <v>0.187599364069952</v>
      </c>
      <c r="K456" s="21">
        <v>1518.34745762712</v>
      </c>
      <c r="L456" s="21">
        <v>35833</v>
      </c>
      <c r="M456" s="21">
        <v>125.8</v>
      </c>
      <c r="N456" s="2" t="s">
        <v>79</v>
      </c>
    </row>
    <row r="457" s="2" customFormat="1" spans="1:14">
      <c r="A457" s="20">
        <v>45843</v>
      </c>
      <c r="B457" s="2" t="s">
        <v>84</v>
      </c>
      <c r="C457" s="2" t="s">
        <v>85</v>
      </c>
      <c r="D457" s="2">
        <v>2</v>
      </c>
      <c r="E457" s="2">
        <v>1017</v>
      </c>
      <c r="F457" s="2">
        <v>199</v>
      </c>
      <c r="G457" s="2">
        <v>229100</v>
      </c>
      <c r="H457" s="2">
        <v>8</v>
      </c>
      <c r="I457" s="2" t="s">
        <v>81</v>
      </c>
      <c r="J457" s="3">
        <v>0.19567354965585</v>
      </c>
      <c r="K457" s="21">
        <v>1151.25628140703</v>
      </c>
      <c r="L457" s="21">
        <v>28637.5</v>
      </c>
      <c r="M457" s="21">
        <v>127.125</v>
      </c>
      <c r="N457" s="2" t="s">
        <v>80</v>
      </c>
    </row>
    <row r="458" s="2" customFormat="1" spans="1:14">
      <c r="A458" s="20">
        <v>45844</v>
      </c>
      <c r="B458" s="2" t="s">
        <v>84</v>
      </c>
      <c r="C458" s="2" t="s">
        <v>85</v>
      </c>
      <c r="D458" s="2">
        <v>2</v>
      </c>
      <c r="E458" s="2">
        <v>1365</v>
      </c>
      <c r="F458" s="2">
        <v>247</v>
      </c>
      <c r="G458" s="2">
        <v>273856</v>
      </c>
      <c r="H458" s="2">
        <v>5</v>
      </c>
      <c r="I458" s="2" t="s">
        <v>78</v>
      </c>
      <c r="J458" s="3">
        <v>0.180952380952381</v>
      </c>
      <c r="K458" s="21">
        <v>1108.72874493927</v>
      </c>
      <c r="L458" s="21">
        <v>54771.2</v>
      </c>
      <c r="M458" s="21">
        <v>273</v>
      </c>
      <c r="N458" s="2" t="s">
        <v>80</v>
      </c>
    </row>
    <row r="459" s="2" customFormat="1" spans="1:14">
      <c r="A459" s="20">
        <v>45845</v>
      </c>
      <c r="B459" s="2" t="s">
        <v>84</v>
      </c>
      <c r="C459" s="2" t="s">
        <v>85</v>
      </c>
      <c r="D459" s="2">
        <v>2</v>
      </c>
      <c r="E459" s="2">
        <v>467</v>
      </c>
      <c r="F459" s="2">
        <v>103</v>
      </c>
      <c r="G459" s="2">
        <v>134649</v>
      </c>
      <c r="H459" s="2">
        <v>6</v>
      </c>
      <c r="I459" s="2" t="s">
        <v>78</v>
      </c>
      <c r="J459" s="3">
        <v>0.220556745182013</v>
      </c>
      <c r="K459" s="21">
        <v>1307.27184466019</v>
      </c>
      <c r="L459" s="21">
        <v>22441.5</v>
      </c>
      <c r="M459" s="21">
        <v>77.8333333333333</v>
      </c>
      <c r="N459" s="2" t="s">
        <v>79</v>
      </c>
    </row>
    <row r="460" s="2" customFormat="1" spans="1:14">
      <c r="A460" s="20">
        <v>45846</v>
      </c>
      <c r="B460" s="2" t="s">
        <v>84</v>
      </c>
      <c r="C460" s="2" t="s">
        <v>85</v>
      </c>
      <c r="D460" s="2">
        <v>2</v>
      </c>
      <c r="E460" s="2">
        <v>564</v>
      </c>
      <c r="F460" s="2">
        <v>105</v>
      </c>
      <c r="G460" s="2">
        <v>137584</v>
      </c>
      <c r="H460" s="2">
        <v>6</v>
      </c>
      <c r="I460" s="2" t="s">
        <v>78</v>
      </c>
      <c r="J460" s="3">
        <v>0.186170212765957</v>
      </c>
      <c r="K460" s="21">
        <v>1310.32380952381</v>
      </c>
      <c r="L460" s="21">
        <v>22930.6666666667</v>
      </c>
      <c r="M460" s="21">
        <v>94</v>
      </c>
      <c r="N460" s="2" t="s">
        <v>79</v>
      </c>
    </row>
    <row r="461" s="2" customFormat="1" spans="1:14">
      <c r="A461" s="20">
        <v>45847</v>
      </c>
      <c r="B461" s="2" t="s">
        <v>84</v>
      </c>
      <c r="C461" s="2" t="s">
        <v>85</v>
      </c>
      <c r="D461" s="2">
        <v>2</v>
      </c>
      <c r="E461" s="2">
        <v>650</v>
      </c>
      <c r="F461" s="2">
        <v>138</v>
      </c>
      <c r="G461" s="2">
        <v>212990</v>
      </c>
      <c r="H461" s="2">
        <v>8</v>
      </c>
      <c r="I461" s="2" t="s">
        <v>78</v>
      </c>
      <c r="J461" s="3">
        <v>0.212307692307692</v>
      </c>
      <c r="K461" s="21">
        <v>1543.40579710145</v>
      </c>
      <c r="L461" s="21">
        <v>26623.75</v>
      </c>
      <c r="M461" s="21">
        <v>81.25</v>
      </c>
      <c r="N461" s="2" t="s">
        <v>79</v>
      </c>
    </row>
    <row r="462" s="2" customFormat="1" spans="1:14">
      <c r="A462" s="20">
        <v>45848</v>
      </c>
      <c r="B462" s="2" t="s">
        <v>84</v>
      </c>
      <c r="C462" s="2" t="s">
        <v>85</v>
      </c>
      <c r="D462" s="2">
        <v>2</v>
      </c>
      <c r="E462" s="2">
        <v>800</v>
      </c>
      <c r="F462" s="2">
        <v>157</v>
      </c>
      <c r="G462" s="2">
        <v>226967</v>
      </c>
      <c r="H462" s="2">
        <v>9</v>
      </c>
      <c r="I462" s="2" t="s">
        <v>78</v>
      </c>
      <c r="J462" s="3">
        <v>0.19625</v>
      </c>
      <c r="K462" s="21">
        <v>1445.64968152866</v>
      </c>
      <c r="L462" s="21">
        <v>25218.5555555556</v>
      </c>
      <c r="M462" s="21">
        <v>88.8888888888889</v>
      </c>
      <c r="N462" s="2" t="s">
        <v>79</v>
      </c>
    </row>
    <row r="463" s="2" customFormat="1" spans="1:14">
      <c r="A463" s="20">
        <v>45849</v>
      </c>
      <c r="B463" s="2" t="s">
        <v>84</v>
      </c>
      <c r="C463" s="2" t="s">
        <v>85</v>
      </c>
      <c r="D463" s="2">
        <v>2</v>
      </c>
      <c r="E463" s="2">
        <v>771</v>
      </c>
      <c r="F463" s="2">
        <v>163</v>
      </c>
      <c r="G463" s="2">
        <v>226271</v>
      </c>
      <c r="H463" s="2">
        <v>5</v>
      </c>
      <c r="I463" s="2" t="s">
        <v>78</v>
      </c>
      <c r="J463" s="3">
        <v>0.211413748378729</v>
      </c>
      <c r="K463" s="21">
        <v>1388.16564417178</v>
      </c>
      <c r="L463" s="21">
        <v>45254.2</v>
      </c>
      <c r="M463" s="21">
        <v>154.2</v>
      </c>
      <c r="N463" s="2" t="s">
        <v>79</v>
      </c>
    </row>
    <row r="464" s="2" customFormat="1" spans="1:14">
      <c r="A464" s="20">
        <v>45850</v>
      </c>
      <c r="B464" s="2" t="s">
        <v>84</v>
      </c>
      <c r="C464" s="2" t="s">
        <v>85</v>
      </c>
      <c r="D464" s="2">
        <v>2</v>
      </c>
      <c r="E464" s="2">
        <v>813</v>
      </c>
      <c r="F464" s="2">
        <v>182</v>
      </c>
      <c r="G464" s="2">
        <v>298847</v>
      </c>
      <c r="H464" s="2">
        <v>8</v>
      </c>
      <c r="I464" s="2" t="s">
        <v>78</v>
      </c>
      <c r="J464" s="3">
        <v>0.223862238622386</v>
      </c>
      <c r="K464" s="21">
        <v>1642.01648351648</v>
      </c>
      <c r="L464" s="21">
        <v>37355.875</v>
      </c>
      <c r="M464" s="21">
        <v>101.625</v>
      </c>
      <c r="N464" s="2" t="s">
        <v>80</v>
      </c>
    </row>
    <row r="465" s="2" customFormat="1" spans="1:14">
      <c r="A465" s="20">
        <v>45851</v>
      </c>
      <c r="B465" s="2" t="s">
        <v>84</v>
      </c>
      <c r="C465" s="2" t="s">
        <v>85</v>
      </c>
      <c r="D465" s="2">
        <v>2</v>
      </c>
      <c r="E465" s="2">
        <v>1022</v>
      </c>
      <c r="F465" s="2">
        <v>219</v>
      </c>
      <c r="G465" s="2">
        <v>346811</v>
      </c>
      <c r="H465" s="2">
        <v>4</v>
      </c>
      <c r="I465" s="2" t="s">
        <v>78</v>
      </c>
      <c r="J465" s="3">
        <v>0.214285714285714</v>
      </c>
      <c r="K465" s="21">
        <v>1583.61187214612</v>
      </c>
      <c r="L465" s="21">
        <v>86702.75</v>
      </c>
      <c r="M465" s="21">
        <v>255.5</v>
      </c>
      <c r="N465" s="2" t="s">
        <v>80</v>
      </c>
    </row>
    <row r="466" s="2" customFormat="1" spans="1:14">
      <c r="A466" s="20">
        <v>45852</v>
      </c>
      <c r="B466" s="2" t="s">
        <v>84</v>
      </c>
      <c r="C466" s="2" t="s">
        <v>85</v>
      </c>
      <c r="D466" s="2">
        <v>2</v>
      </c>
      <c r="E466" s="2">
        <v>619</v>
      </c>
      <c r="F466" s="2">
        <v>126</v>
      </c>
      <c r="G466" s="2">
        <v>142753</v>
      </c>
      <c r="H466" s="2">
        <v>9</v>
      </c>
      <c r="I466" s="2" t="s">
        <v>78</v>
      </c>
      <c r="J466" s="3">
        <v>0.203554119547658</v>
      </c>
      <c r="K466" s="21">
        <v>1132.96031746032</v>
      </c>
      <c r="L466" s="21">
        <v>15861.4444444445</v>
      </c>
      <c r="M466" s="21">
        <v>68.7777777777778</v>
      </c>
      <c r="N466" s="2" t="s">
        <v>79</v>
      </c>
    </row>
    <row r="467" s="2" customFormat="1" spans="1:14">
      <c r="A467" s="20">
        <v>45853</v>
      </c>
      <c r="B467" s="2" t="s">
        <v>84</v>
      </c>
      <c r="C467" s="2" t="s">
        <v>85</v>
      </c>
      <c r="D467" s="2">
        <v>2</v>
      </c>
      <c r="E467" s="2">
        <v>669</v>
      </c>
      <c r="F467" s="2">
        <v>144</v>
      </c>
      <c r="G467" s="2">
        <v>161662</v>
      </c>
      <c r="H467" s="2">
        <v>6</v>
      </c>
      <c r="I467" s="2" t="s">
        <v>78</v>
      </c>
      <c r="J467" s="3">
        <v>0.2152466367713</v>
      </c>
      <c r="K467" s="21">
        <v>1122.65277777778</v>
      </c>
      <c r="L467" s="21">
        <v>26943.6666666667</v>
      </c>
      <c r="M467" s="21">
        <v>111.5</v>
      </c>
      <c r="N467" s="2" t="s">
        <v>79</v>
      </c>
    </row>
    <row r="468" s="2" customFormat="1" spans="1:14">
      <c r="A468" s="20">
        <v>45854</v>
      </c>
      <c r="B468" s="2" t="s">
        <v>84</v>
      </c>
      <c r="C468" s="2" t="s">
        <v>85</v>
      </c>
      <c r="D468" s="2">
        <v>2</v>
      </c>
      <c r="E468" s="2">
        <v>692</v>
      </c>
      <c r="F468" s="2">
        <v>146</v>
      </c>
      <c r="G468" s="2">
        <v>165380</v>
      </c>
      <c r="H468" s="2">
        <v>4</v>
      </c>
      <c r="I468" s="2" t="s">
        <v>78</v>
      </c>
      <c r="J468" s="3">
        <v>0.210982658959538</v>
      </c>
      <c r="K468" s="21">
        <v>1132.7397260274</v>
      </c>
      <c r="L468" s="21">
        <v>41345</v>
      </c>
      <c r="M468" s="21">
        <v>173</v>
      </c>
      <c r="N468" s="2" t="s">
        <v>79</v>
      </c>
    </row>
    <row r="469" s="2" customFormat="1" spans="1:14">
      <c r="A469" s="20">
        <v>45855</v>
      </c>
      <c r="B469" s="2" t="s">
        <v>84</v>
      </c>
      <c r="C469" s="2" t="s">
        <v>85</v>
      </c>
      <c r="D469" s="2">
        <v>2</v>
      </c>
      <c r="E469" s="2">
        <v>645</v>
      </c>
      <c r="F469" s="2">
        <v>125</v>
      </c>
      <c r="G469" s="2">
        <v>158144</v>
      </c>
      <c r="H469" s="2">
        <v>7</v>
      </c>
      <c r="I469" s="2" t="s">
        <v>78</v>
      </c>
      <c r="J469" s="3">
        <v>0.193798449612403</v>
      </c>
      <c r="K469" s="21">
        <v>1265.152</v>
      </c>
      <c r="L469" s="21">
        <v>22592</v>
      </c>
      <c r="M469" s="21">
        <v>92.1428571428571</v>
      </c>
      <c r="N469" s="2" t="s">
        <v>79</v>
      </c>
    </row>
    <row r="470" s="2" customFormat="1" spans="1:14">
      <c r="A470" s="20">
        <v>45856</v>
      </c>
      <c r="B470" s="2" t="s">
        <v>84</v>
      </c>
      <c r="C470" s="2" t="s">
        <v>85</v>
      </c>
      <c r="D470" s="2">
        <v>2</v>
      </c>
      <c r="E470" s="2">
        <v>735</v>
      </c>
      <c r="F470" s="2">
        <v>151</v>
      </c>
      <c r="G470" s="2">
        <v>207353</v>
      </c>
      <c r="H470" s="2">
        <v>8</v>
      </c>
      <c r="I470" s="2" t="s">
        <v>78</v>
      </c>
      <c r="J470" s="3">
        <v>0.205442176870748</v>
      </c>
      <c r="K470" s="21">
        <v>1373.19867549669</v>
      </c>
      <c r="L470" s="21">
        <v>25919.125</v>
      </c>
      <c r="M470" s="21">
        <v>91.875</v>
      </c>
      <c r="N470" s="2" t="s">
        <v>79</v>
      </c>
    </row>
    <row r="471" s="2" customFormat="1" spans="1:14">
      <c r="A471" s="20">
        <v>45857</v>
      </c>
      <c r="B471" s="2" t="s">
        <v>84</v>
      </c>
      <c r="C471" s="2" t="s">
        <v>85</v>
      </c>
      <c r="D471" s="2">
        <v>2</v>
      </c>
      <c r="E471" s="2">
        <v>1024</v>
      </c>
      <c r="F471" s="2">
        <v>184</v>
      </c>
      <c r="G471" s="2">
        <v>272365</v>
      </c>
      <c r="H471" s="2">
        <v>5</v>
      </c>
      <c r="I471" s="2" t="s">
        <v>78</v>
      </c>
      <c r="J471" s="3">
        <v>0.1796875</v>
      </c>
      <c r="K471" s="21">
        <v>1480.24456521739</v>
      </c>
      <c r="L471" s="21">
        <v>54473</v>
      </c>
      <c r="M471" s="21">
        <v>204.8</v>
      </c>
      <c r="N471" s="2" t="s">
        <v>80</v>
      </c>
    </row>
    <row r="472" s="2" customFormat="1" spans="1:14">
      <c r="A472" s="20">
        <v>45858</v>
      </c>
      <c r="B472" s="2" t="s">
        <v>84</v>
      </c>
      <c r="C472" s="2" t="s">
        <v>85</v>
      </c>
      <c r="D472" s="2">
        <v>2</v>
      </c>
      <c r="E472" s="2">
        <v>1114</v>
      </c>
      <c r="F472" s="2">
        <v>234</v>
      </c>
      <c r="G472" s="2">
        <v>327274</v>
      </c>
      <c r="H472" s="2">
        <v>4</v>
      </c>
      <c r="I472" s="2" t="s">
        <v>81</v>
      </c>
      <c r="J472" s="3">
        <v>0.210053859964093</v>
      </c>
      <c r="K472" s="21">
        <v>1398.60683760684</v>
      </c>
      <c r="L472" s="21">
        <v>81818.5</v>
      </c>
      <c r="M472" s="21">
        <v>278.5</v>
      </c>
      <c r="N472" s="2" t="s">
        <v>80</v>
      </c>
    </row>
    <row r="473" s="2" customFormat="1" spans="1:14">
      <c r="A473" s="20">
        <v>45859</v>
      </c>
      <c r="B473" s="2" t="s">
        <v>84</v>
      </c>
      <c r="C473" s="2" t="s">
        <v>85</v>
      </c>
      <c r="D473" s="2">
        <v>2</v>
      </c>
      <c r="E473" s="2">
        <v>703</v>
      </c>
      <c r="F473" s="2">
        <v>141</v>
      </c>
      <c r="G473" s="2">
        <v>191480</v>
      </c>
      <c r="H473" s="2">
        <v>7</v>
      </c>
      <c r="I473" s="2" t="s">
        <v>81</v>
      </c>
      <c r="J473" s="3">
        <v>0.200568990042674</v>
      </c>
      <c r="K473" s="21">
        <v>1358.01418439716</v>
      </c>
      <c r="L473" s="21">
        <v>27354.2857142857</v>
      </c>
      <c r="M473" s="21">
        <v>100.428571428571</v>
      </c>
      <c r="N473" s="2" t="s">
        <v>79</v>
      </c>
    </row>
    <row r="474" s="2" customFormat="1" spans="1:14">
      <c r="A474" s="20">
        <v>45860</v>
      </c>
      <c r="B474" s="2" t="s">
        <v>84</v>
      </c>
      <c r="C474" s="2" t="s">
        <v>85</v>
      </c>
      <c r="D474" s="2">
        <v>2</v>
      </c>
      <c r="E474" s="2">
        <v>684</v>
      </c>
      <c r="F474" s="2">
        <v>130</v>
      </c>
      <c r="G474" s="2">
        <v>170619</v>
      </c>
      <c r="H474" s="2">
        <v>5</v>
      </c>
      <c r="I474" s="2" t="s">
        <v>78</v>
      </c>
      <c r="J474" s="3">
        <v>0.190058479532164</v>
      </c>
      <c r="K474" s="21">
        <v>1312.45384615385</v>
      </c>
      <c r="L474" s="21">
        <v>34123.8</v>
      </c>
      <c r="M474" s="21">
        <v>136.8</v>
      </c>
      <c r="N474" s="2" t="s">
        <v>79</v>
      </c>
    </row>
    <row r="475" s="2" customFormat="1" spans="1:14">
      <c r="A475" s="20">
        <v>45861</v>
      </c>
      <c r="B475" s="2" t="s">
        <v>84</v>
      </c>
      <c r="C475" s="2" t="s">
        <v>85</v>
      </c>
      <c r="D475" s="2">
        <v>2</v>
      </c>
      <c r="E475" s="2">
        <v>656</v>
      </c>
      <c r="F475" s="2">
        <v>123</v>
      </c>
      <c r="G475" s="2">
        <v>195321</v>
      </c>
      <c r="H475" s="2">
        <v>4</v>
      </c>
      <c r="I475" s="2" t="s">
        <v>78</v>
      </c>
      <c r="J475" s="3">
        <v>0.1875</v>
      </c>
      <c r="K475" s="21">
        <v>1587.9756097561</v>
      </c>
      <c r="L475" s="21">
        <v>48830.25</v>
      </c>
      <c r="M475" s="21">
        <v>164</v>
      </c>
      <c r="N475" s="2" t="s">
        <v>79</v>
      </c>
    </row>
    <row r="476" s="2" customFormat="1" spans="1:14">
      <c r="A476" s="20">
        <v>45862</v>
      </c>
      <c r="B476" s="2" t="s">
        <v>84</v>
      </c>
      <c r="C476" s="2" t="s">
        <v>85</v>
      </c>
      <c r="D476" s="2">
        <v>2</v>
      </c>
      <c r="E476" s="2">
        <v>720</v>
      </c>
      <c r="F476" s="2">
        <v>160</v>
      </c>
      <c r="G476" s="2">
        <v>203528</v>
      </c>
      <c r="H476" s="2">
        <v>7</v>
      </c>
      <c r="I476" s="2" t="s">
        <v>78</v>
      </c>
      <c r="J476" s="3">
        <v>0.222222222222222</v>
      </c>
      <c r="K476" s="21">
        <v>1272.05</v>
      </c>
      <c r="L476" s="21">
        <v>29075.4285714286</v>
      </c>
      <c r="M476" s="21">
        <v>102.857142857143</v>
      </c>
      <c r="N476" s="2" t="s">
        <v>79</v>
      </c>
    </row>
    <row r="477" s="2" customFormat="1" spans="1:14">
      <c r="A477" s="20">
        <v>45863</v>
      </c>
      <c r="B477" s="2" t="s">
        <v>84</v>
      </c>
      <c r="C477" s="2" t="s">
        <v>85</v>
      </c>
      <c r="D477" s="2">
        <v>2</v>
      </c>
      <c r="E477" s="2">
        <v>792</v>
      </c>
      <c r="F477" s="2">
        <v>173</v>
      </c>
      <c r="G477" s="2">
        <v>209130</v>
      </c>
      <c r="H477" s="2">
        <v>6</v>
      </c>
      <c r="I477" s="2" t="s">
        <v>78</v>
      </c>
      <c r="J477" s="3">
        <v>0.218434343434343</v>
      </c>
      <c r="K477" s="21">
        <v>1208.84393063584</v>
      </c>
      <c r="L477" s="21">
        <v>34855</v>
      </c>
      <c r="M477" s="21">
        <v>132</v>
      </c>
      <c r="N477" s="2" t="s">
        <v>79</v>
      </c>
    </row>
    <row r="478" s="2" customFormat="1" spans="1:14">
      <c r="A478" s="20">
        <v>45864</v>
      </c>
      <c r="B478" s="2" t="s">
        <v>84</v>
      </c>
      <c r="C478" s="2" t="s">
        <v>85</v>
      </c>
      <c r="D478" s="2">
        <v>2</v>
      </c>
      <c r="E478" s="2">
        <v>1058</v>
      </c>
      <c r="F478" s="2">
        <v>224</v>
      </c>
      <c r="G478" s="2">
        <v>246791</v>
      </c>
      <c r="H478" s="2">
        <v>6</v>
      </c>
      <c r="I478" s="2" t="s">
        <v>78</v>
      </c>
      <c r="J478" s="3">
        <v>0.2117202268431</v>
      </c>
      <c r="K478" s="21">
        <v>1101.74553571429</v>
      </c>
      <c r="L478" s="21">
        <v>41131.8333333333</v>
      </c>
      <c r="M478" s="21">
        <v>176.333333333333</v>
      </c>
      <c r="N478" s="2" t="s">
        <v>80</v>
      </c>
    </row>
    <row r="479" s="2" customFormat="1" spans="1:14">
      <c r="A479" s="20">
        <v>45865</v>
      </c>
      <c r="B479" s="2" t="s">
        <v>84</v>
      </c>
      <c r="C479" s="2" t="s">
        <v>85</v>
      </c>
      <c r="D479" s="2">
        <v>2</v>
      </c>
      <c r="E479" s="2">
        <v>902</v>
      </c>
      <c r="F479" s="2">
        <v>198</v>
      </c>
      <c r="G479" s="2">
        <v>250780</v>
      </c>
      <c r="H479" s="2">
        <v>7</v>
      </c>
      <c r="I479" s="2" t="s">
        <v>78</v>
      </c>
      <c r="J479" s="3">
        <v>0.219512195121951</v>
      </c>
      <c r="K479" s="21">
        <v>1266.56565656566</v>
      </c>
      <c r="L479" s="21">
        <v>35825.7142857143</v>
      </c>
      <c r="M479" s="21">
        <v>128.857142857143</v>
      </c>
      <c r="N479" s="2" t="s">
        <v>80</v>
      </c>
    </row>
    <row r="480" s="2" customFormat="1" spans="1:14">
      <c r="A480" s="20">
        <v>45866</v>
      </c>
      <c r="B480" s="2" t="s">
        <v>84</v>
      </c>
      <c r="C480" s="2" t="s">
        <v>85</v>
      </c>
      <c r="D480" s="2">
        <v>2</v>
      </c>
      <c r="E480" s="2">
        <v>893</v>
      </c>
      <c r="F480" s="2">
        <v>189</v>
      </c>
      <c r="G480" s="2">
        <v>242357</v>
      </c>
      <c r="H480" s="2">
        <v>7</v>
      </c>
      <c r="I480" s="2" t="s">
        <v>81</v>
      </c>
      <c r="J480" s="3">
        <v>0.211646136618141</v>
      </c>
      <c r="K480" s="21">
        <v>1282.31216931217</v>
      </c>
      <c r="L480" s="21">
        <v>34622.4285714286</v>
      </c>
      <c r="M480" s="21">
        <v>127.571428571429</v>
      </c>
      <c r="N480" s="2" t="s">
        <v>79</v>
      </c>
    </row>
    <row r="481" s="2" customFormat="1" spans="1:14">
      <c r="A481" s="20">
        <v>45867</v>
      </c>
      <c r="B481" s="2" t="s">
        <v>84</v>
      </c>
      <c r="C481" s="2" t="s">
        <v>85</v>
      </c>
      <c r="D481" s="2">
        <v>2</v>
      </c>
      <c r="E481" s="2">
        <v>684</v>
      </c>
      <c r="F481" s="2">
        <v>145</v>
      </c>
      <c r="G481" s="2">
        <v>231253</v>
      </c>
      <c r="H481" s="2">
        <v>6</v>
      </c>
      <c r="I481" s="2" t="s">
        <v>81</v>
      </c>
      <c r="J481" s="3">
        <v>0.211988304093567</v>
      </c>
      <c r="K481" s="21">
        <v>1594.84827586207</v>
      </c>
      <c r="L481" s="21">
        <v>38542.1666666667</v>
      </c>
      <c r="M481" s="21">
        <v>114</v>
      </c>
      <c r="N481" s="2" t="s">
        <v>79</v>
      </c>
    </row>
    <row r="482" s="2" customFormat="1" spans="1:14">
      <c r="A482" s="20">
        <v>45868</v>
      </c>
      <c r="B482" s="2" t="s">
        <v>84</v>
      </c>
      <c r="C482" s="2" t="s">
        <v>85</v>
      </c>
      <c r="D482" s="2">
        <v>2</v>
      </c>
      <c r="E482" s="2">
        <v>666</v>
      </c>
      <c r="F482" s="2">
        <v>142</v>
      </c>
      <c r="G482" s="2">
        <v>197342</v>
      </c>
      <c r="H482" s="2">
        <v>4</v>
      </c>
      <c r="I482" s="2" t="s">
        <v>78</v>
      </c>
      <c r="J482" s="3">
        <v>0.213213213213213</v>
      </c>
      <c r="K482" s="21">
        <v>1389.7323943662</v>
      </c>
      <c r="L482" s="21">
        <v>49335.5</v>
      </c>
      <c r="M482" s="21">
        <v>166.5</v>
      </c>
      <c r="N482" s="2" t="s">
        <v>79</v>
      </c>
    </row>
    <row r="483" s="2" customFormat="1" spans="1:14">
      <c r="A483" s="20">
        <v>45869</v>
      </c>
      <c r="B483" s="2" t="s">
        <v>84</v>
      </c>
      <c r="C483" s="2" t="s">
        <v>85</v>
      </c>
      <c r="D483" s="2">
        <v>2</v>
      </c>
      <c r="E483" s="2">
        <v>729</v>
      </c>
      <c r="F483" s="2">
        <v>150</v>
      </c>
      <c r="G483" s="2">
        <v>194132</v>
      </c>
      <c r="H483" s="2">
        <v>6</v>
      </c>
      <c r="I483" s="2" t="s">
        <v>78</v>
      </c>
      <c r="J483" s="3">
        <v>0.205761316872428</v>
      </c>
      <c r="K483" s="21">
        <v>1294.21333333333</v>
      </c>
      <c r="L483" s="21">
        <v>32355.3333333333</v>
      </c>
      <c r="M483" s="21">
        <v>121.5</v>
      </c>
      <c r="N483" s="2" t="s">
        <v>79</v>
      </c>
    </row>
    <row r="484" s="2" customFormat="1" spans="1:14">
      <c r="A484" s="20">
        <v>45870</v>
      </c>
      <c r="B484" s="2" t="s">
        <v>84</v>
      </c>
      <c r="C484" s="2" t="s">
        <v>85</v>
      </c>
      <c r="D484" s="2">
        <v>2</v>
      </c>
      <c r="E484" s="2">
        <v>576</v>
      </c>
      <c r="F484" s="2">
        <v>106</v>
      </c>
      <c r="G484" s="2">
        <v>142609</v>
      </c>
      <c r="H484" s="2">
        <v>5</v>
      </c>
      <c r="I484" s="2" t="s">
        <v>81</v>
      </c>
      <c r="J484" s="3">
        <v>0.184027777777778</v>
      </c>
      <c r="K484" s="21">
        <v>1345.3679245283</v>
      </c>
      <c r="L484" s="21">
        <v>28521.8</v>
      </c>
      <c r="M484" s="21">
        <v>115.2</v>
      </c>
      <c r="N484" s="2" t="s">
        <v>79</v>
      </c>
    </row>
    <row r="485" s="2" customFormat="1" spans="1:14">
      <c r="A485" s="20">
        <v>45871</v>
      </c>
      <c r="B485" s="2" t="s">
        <v>84</v>
      </c>
      <c r="C485" s="2" t="s">
        <v>85</v>
      </c>
      <c r="D485" s="2">
        <v>2</v>
      </c>
      <c r="E485" s="2">
        <v>1124</v>
      </c>
      <c r="F485" s="2">
        <v>217</v>
      </c>
      <c r="G485" s="2">
        <v>253278</v>
      </c>
      <c r="H485" s="2">
        <v>8</v>
      </c>
      <c r="I485" s="2" t="s">
        <v>78</v>
      </c>
      <c r="J485" s="3">
        <v>0.193060498220641</v>
      </c>
      <c r="K485" s="21">
        <v>1167.1797235023</v>
      </c>
      <c r="L485" s="21">
        <v>31659.75</v>
      </c>
      <c r="M485" s="21">
        <v>140.5</v>
      </c>
      <c r="N485" s="2" t="s">
        <v>80</v>
      </c>
    </row>
    <row r="486" s="2" customFormat="1" spans="1:14">
      <c r="A486" s="20">
        <v>45872</v>
      </c>
      <c r="B486" s="2" t="s">
        <v>84</v>
      </c>
      <c r="C486" s="2" t="s">
        <v>85</v>
      </c>
      <c r="D486" s="2">
        <v>2</v>
      </c>
      <c r="E486" s="2">
        <v>952</v>
      </c>
      <c r="F486" s="2">
        <v>202</v>
      </c>
      <c r="G486" s="2">
        <v>243183</v>
      </c>
      <c r="H486" s="2">
        <v>4</v>
      </c>
      <c r="I486" s="2" t="s">
        <v>78</v>
      </c>
      <c r="J486" s="3">
        <v>0.21218487394958</v>
      </c>
      <c r="K486" s="21">
        <v>1203.87623762376</v>
      </c>
      <c r="L486" s="21">
        <v>60795.75</v>
      </c>
      <c r="M486" s="21">
        <v>238</v>
      </c>
      <c r="N486" s="2" t="s">
        <v>80</v>
      </c>
    </row>
    <row r="487" s="2" customFormat="1" spans="1:14">
      <c r="A487" s="20">
        <v>45873</v>
      </c>
      <c r="B487" s="2" t="s">
        <v>84</v>
      </c>
      <c r="C487" s="2" t="s">
        <v>85</v>
      </c>
      <c r="D487" s="2">
        <v>2</v>
      </c>
      <c r="E487" s="2">
        <v>648</v>
      </c>
      <c r="F487" s="2">
        <v>129</v>
      </c>
      <c r="G487" s="2">
        <v>185293</v>
      </c>
      <c r="H487" s="2">
        <v>4</v>
      </c>
      <c r="I487" s="2" t="s">
        <v>78</v>
      </c>
      <c r="J487" s="3">
        <v>0.199074074074074</v>
      </c>
      <c r="K487" s="21">
        <v>1436.37984496124</v>
      </c>
      <c r="L487" s="21">
        <v>46323.25</v>
      </c>
      <c r="M487" s="21">
        <v>162</v>
      </c>
      <c r="N487" s="2" t="s">
        <v>79</v>
      </c>
    </row>
    <row r="488" s="2" customFormat="1" spans="1:14">
      <c r="A488" s="20">
        <v>45874</v>
      </c>
      <c r="B488" s="2" t="s">
        <v>84</v>
      </c>
      <c r="C488" s="2" t="s">
        <v>85</v>
      </c>
      <c r="D488" s="2">
        <v>2</v>
      </c>
      <c r="E488" s="2">
        <v>656</v>
      </c>
      <c r="F488" s="2">
        <v>144</v>
      </c>
      <c r="G488" s="2">
        <v>186808</v>
      </c>
      <c r="H488" s="2">
        <v>6</v>
      </c>
      <c r="I488" s="2" t="s">
        <v>78</v>
      </c>
      <c r="J488" s="3">
        <v>0.219512195121951</v>
      </c>
      <c r="K488" s="21">
        <v>1297.27777777778</v>
      </c>
      <c r="L488" s="21">
        <v>31134.6666666667</v>
      </c>
      <c r="M488" s="21">
        <v>109.333333333333</v>
      </c>
      <c r="N488" s="2" t="s">
        <v>79</v>
      </c>
    </row>
    <row r="489" s="2" customFormat="1" spans="1:14">
      <c r="A489" s="20">
        <v>45875</v>
      </c>
      <c r="B489" s="2" t="s">
        <v>84</v>
      </c>
      <c r="C489" s="2" t="s">
        <v>85</v>
      </c>
      <c r="D489" s="2">
        <v>2</v>
      </c>
      <c r="E489" s="2">
        <v>625</v>
      </c>
      <c r="F489" s="2">
        <v>118</v>
      </c>
      <c r="G489" s="2">
        <v>169546</v>
      </c>
      <c r="H489" s="2">
        <v>4</v>
      </c>
      <c r="I489" s="2" t="s">
        <v>78</v>
      </c>
      <c r="J489" s="3">
        <v>0.1888</v>
      </c>
      <c r="K489" s="21">
        <v>1436.83050847458</v>
      </c>
      <c r="L489" s="21">
        <v>42386.5</v>
      </c>
      <c r="M489" s="21">
        <v>156.25</v>
      </c>
      <c r="N489" s="2" t="s">
        <v>79</v>
      </c>
    </row>
    <row r="490" s="2" customFormat="1" spans="1:14">
      <c r="A490" s="20">
        <v>45876</v>
      </c>
      <c r="B490" s="2" t="s">
        <v>84</v>
      </c>
      <c r="C490" s="2" t="s">
        <v>85</v>
      </c>
      <c r="D490" s="2">
        <v>2</v>
      </c>
      <c r="E490" s="2">
        <v>693</v>
      </c>
      <c r="F490" s="2">
        <v>135</v>
      </c>
      <c r="G490" s="2">
        <v>226070</v>
      </c>
      <c r="H490" s="2">
        <v>9</v>
      </c>
      <c r="I490" s="2" t="s">
        <v>81</v>
      </c>
      <c r="J490" s="3">
        <v>0.194805194805195</v>
      </c>
      <c r="K490" s="21">
        <v>1674.59259259259</v>
      </c>
      <c r="L490" s="21">
        <v>25118.8888888889</v>
      </c>
      <c r="M490" s="21">
        <v>77</v>
      </c>
      <c r="N490" s="2" t="s">
        <v>79</v>
      </c>
    </row>
    <row r="491" s="2" customFormat="1" spans="1:14">
      <c r="A491" s="20">
        <v>45877</v>
      </c>
      <c r="B491" s="2" t="s">
        <v>84</v>
      </c>
      <c r="C491" s="2" t="s">
        <v>85</v>
      </c>
      <c r="D491" s="2">
        <v>2</v>
      </c>
      <c r="E491" s="2">
        <v>711</v>
      </c>
      <c r="F491" s="2">
        <v>136</v>
      </c>
      <c r="G491" s="2">
        <v>193716</v>
      </c>
      <c r="H491" s="2">
        <v>6</v>
      </c>
      <c r="I491" s="2" t="s">
        <v>78</v>
      </c>
      <c r="J491" s="3">
        <v>0.191279887482419</v>
      </c>
      <c r="K491" s="21">
        <v>1424.38235294118</v>
      </c>
      <c r="L491" s="21">
        <v>32286</v>
      </c>
      <c r="M491" s="21">
        <v>118.5</v>
      </c>
      <c r="N491" s="2" t="s">
        <v>79</v>
      </c>
    </row>
    <row r="492" s="2" customFormat="1" spans="1:14">
      <c r="A492" s="20">
        <v>45878</v>
      </c>
      <c r="B492" s="2" t="s">
        <v>84</v>
      </c>
      <c r="C492" s="2" t="s">
        <v>85</v>
      </c>
      <c r="D492" s="2">
        <v>2</v>
      </c>
      <c r="E492" s="2">
        <v>797</v>
      </c>
      <c r="F492" s="2">
        <v>158</v>
      </c>
      <c r="G492" s="2">
        <v>224740</v>
      </c>
      <c r="H492" s="2">
        <v>5</v>
      </c>
      <c r="I492" s="2" t="s">
        <v>81</v>
      </c>
      <c r="J492" s="3">
        <v>0.198243412797993</v>
      </c>
      <c r="K492" s="21">
        <v>1422.40506329114</v>
      </c>
      <c r="L492" s="21">
        <v>44948</v>
      </c>
      <c r="M492" s="21">
        <v>159.4</v>
      </c>
      <c r="N492" s="2" t="s">
        <v>80</v>
      </c>
    </row>
    <row r="493" s="2" customFormat="1" spans="1:14">
      <c r="A493" s="20">
        <v>45879</v>
      </c>
      <c r="B493" s="2" t="s">
        <v>84</v>
      </c>
      <c r="C493" s="2" t="s">
        <v>85</v>
      </c>
      <c r="D493" s="2">
        <v>2</v>
      </c>
      <c r="E493" s="2">
        <v>889</v>
      </c>
      <c r="F493" s="2">
        <v>169</v>
      </c>
      <c r="G493" s="2">
        <v>237828</v>
      </c>
      <c r="H493" s="2">
        <v>4</v>
      </c>
      <c r="I493" s="2" t="s">
        <v>78</v>
      </c>
      <c r="J493" s="3">
        <v>0.190101237345332</v>
      </c>
      <c r="K493" s="21">
        <v>1407.26627218935</v>
      </c>
      <c r="L493" s="21">
        <v>59457</v>
      </c>
      <c r="M493" s="21">
        <v>222.25</v>
      </c>
      <c r="N493" s="2" t="s">
        <v>80</v>
      </c>
    </row>
    <row r="494" s="2" customFormat="1" spans="1:14">
      <c r="A494" s="20">
        <v>45880</v>
      </c>
      <c r="B494" s="2" t="s">
        <v>84</v>
      </c>
      <c r="C494" s="2" t="s">
        <v>85</v>
      </c>
      <c r="D494" s="2">
        <v>2</v>
      </c>
      <c r="E494" s="2">
        <v>627</v>
      </c>
      <c r="F494" s="2">
        <v>129</v>
      </c>
      <c r="G494" s="2">
        <v>150931</v>
      </c>
      <c r="H494" s="2">
        <v>5</v>
      </c>
      <c r="I494" s="2" t="s">
        <v>78</v>
      </c>
      <c r="J494" s="3">
        <v>0.205741626794258</v>
      </c>
      <c r="K494" s="21">
        <v>1170.00775193798</v>
      </c>
      <c r="L494" s="21">
        <v>30186.2</v>
      </c>
      <c r="M494" s="21">
        <v>125.4</v>
      </c>
      <c r="N494" s="2" t="s">
        <v>79</v>
      </c>
    </row>
    <row r="495" s="2" customFormat="1" spans="1:14">
      <c r="A495" s="20">
        <v>45881</v>
      </c>
      <c r="B495" s="2" t="s">
        <v>84</v>
      </c>
      <c r="C495" s="2" t="s">
        <v>85</v>
      </c>
      <c r="D495" s="2">
        <v>2</v>
      </c>
      <c r="E495" s="2">
        <v>601</v>
      </c>
      <c r="F495" s="2">
        <v>120</v>
      </c>
      <c r="G495" s="2">
        <v>155309</v>
      </c>
      <c r="H495" s="2">
        <v>5</v>
      </c>
      <c r="I495" s="2" t="s">
        <v>78</v>
      </c>
      <c r="J495" s="3">
        <v>0.199667221297837</v>
      </c>
      <c r="K495" s="21">
        <v>1294.24166666667</v>
      </c>
      <c r="L495" s="21">
        <v>31061.8</v>
      </c>
      <c r="M495" s="21">
        <v>120.2</v>
      </c>
      <c r="N495" s="2" t="s">
        <v>79</v>
      </c>
    </row>
    <row r="496" s="2" customFormat="1" spans="1:14">
      <c r="A496" s="20">
        <v>45882</v>
      </c>
      <c r="B496" s="2" t="s">
        <v>84</v>
      </c>
      <c r="C496" s="2" t="s">
        <v>85</v>
      </c>
      <c r="D496" s="2">
        <v>2</v>
      </c>
      <c r="E496" s="2">
        <v>691</v>
      </c>
      <c r="F496" s="2">
        <v>150</v>
      </c>
      <c r="G496" s="2">
        <v>227070</v>
      </c>
      <c r="H496" s="2">
        <v>8</v>
      </c>
      <c r="I496" s="2" t="s">
        <v>78</v>
      </c>
      <c r="J496" s="3">
        <v>0.217076700434153</v>
      </c>
      <c r="K496" s="21">
        <v>1513.8</v>
      </c>
      <c r="L496" s="21">
        <v>28383.75</v>
      </c>
      <c r="M496" s="21">
        <v>86.375</v>
      </c>
      <c r="N496" s="2" t="s">
        <v>79</v>
      </c>
    </row>
    <row r="497" s="2" customFormat="1" spans="1:14">
      <c r="A497" s="20">
        <v>45883</v>
      </c>
      <c r="B497" s="2" t="s">
        <v>84</v>
      </c>
      <c r="C497" s="2" t="s">
        <v>85</v>
      </c>
      <c r="D497" s="2">
        <v>2</v>
      </c>
      <c r="E497" s="2">
        <v>680</v>
      </c>
      <c r="F497" s="2">
        <v>130</v>
      </c>
      <c r="G497" s="2">
        <v>189820</v>
      </c>
      <c r="H497" s="2">
        <v>4</v>
      </c>
      <c r="I497" s="2" t="s">
        <v>81</v>
      </c>
      <c r="J497" s="3">
        <v>0.191176470588235</v>
      </c>
      <c r="K497" s="21">
        <v>1460.15384615385</v>
      </c>
      <c r="L497" s="21">
        <v>47455</v>
      </c>
      <c r="M497" s="21">
        <v>170</v>
      </c>
      <c r="N497" s="2" t="s">
        <v>79</v>
      </c>
    </row>
    <row r="498" s="2" customFormat="1" spans="1:14">
      <c r="A498" s="20">
        <v>45884</v>
      </c>
      <c r="B498" s="2" t="s">
        <v>84</v>
      </c>
      <c r="C498" s="2" t="s">
        <v>85</v>
      </c>
      <c r="D498" s="2">
        <v>2</v>
      </c>
      <c r="E498" s="2">
        <v>626</v>
      </c>
      <c r="F498" s="2">
        <v>136</v>
      </c>
      <c r="G498" s="2">
        <v>223411</v>
      </c>
      <c r="H498" s="2">
        <v>6</v>
      </c>
      <c r="I498" s="2" t="s">
        <v>81</v>
      </c>
      <c r="J498" s="3">
        <v>0.217252396166134</v>
      </c>
      <c r="K498" s="21">
        <v>1642.72794117647</v>
      </c>
      <c r="L498" s="21">
        <v>37235.1666666667</v>
      </c>
      <c r="M498" s="21">
        <v>104.333333333333</v>
      </c>
      <c r="N498" s="2" t="s">
        <v>79</v>
      </c>
    </row>
    <row r="499" s="2" customFormat="1" spans="1:14">
      <c r="A499" s="20">
        <v>45885</v>
      </c>
      <c r="B499" s="2" t="s">
        <v>84</v>
      </c>
      <c r="C499" s="2" t="s">
        <v>85</v>
      </c>
      <c r="D499" s="2">
        <v>2</v>
      </c>
      <c r="E499" s="2">
        <v>1107</v>
      </c>
      <c r="F499" s="2">
        <v>235</v>
      </c>
      <c r="G499" s="2">
        <v>263077</v>
      </c>
      <c r="H499" s="2">
        <v>9</v>
      </c>
      <c r="I499" s="2" t="s">
        <v>78</v>
      </c>
      <c r="J499" s="3">
        <v>0.212285456187895</v>
      </c>
      <c r="K499" s="21">
        <v>1119.47659574468</v>
      </c>
      <c r="L499" s="21">
        <v>29230.7777777778</v>
      </c>
      <c r="M499" s="21">
        <v>123</v>
      </c>
      <c r="N499" s="2" t="s">
        <v>80</v>
      </c>
    </row>
    <row r="500" s="2" customFormat="1" spans="1:14">
      <c r="A500" s="20">
        <v>45886</v>
      </c>
      <c r="B500" s="2" t="s">
        <v>84</v>
      </c>
      <c r="C500" s="2" t="s">
        <v>85</v>
      </c>
      <c r="D500" s="2">
        <v>2</v>
      </c>
      <c r="E500" s="2">
        <v>1046</v>
      </c>
      <c r="F500" s="2">
        <v>230</v>
      </c>
      <c r="G500" s="2">
        <v>343007</v>
      </c>
      <c r="H500" s="2">
        <v>9</v>
      </c>
      <c r="I500" s="2" t="s">
        <v>78</v>
      </c>
      <c r="J500" s="3">
        <v>0.219885277246654</v>
      </c>
      <c r="K500" s="21">
        <v>1491.3347826087</v>
      </c>
      <c r="L500" s="21">
        <v>38111.8888888889</v>
      </c>
      <c r="M500" s="21">
        <v>116.222222222222</v>
      </c>
      <c r="N500" s="2" t="s">
        <v>80</v>
      </c>
    </row>
    <row r="501" s="2" customFormat="1" spans="1:14">
      <c r="A501" s="20">
        <v>45887</v>
      </c>
      <c r="B501" s="2" t="s">
        <v>84</v>
      </c>
      <c r="C501" s="2" t="s">
        <v>85</v>
      </c>
      <c r="D501" s="2">
        <v>2</v>
      </c>
      <c r="E501" s="2">
        <v>669</v>
      </c>
      <c r="F501" s="2">
        <v>145</v>
      </c>
      <c r="G501" s="2">
        <v>189435</v>
      </c>
      <c r="H501" s="2">
        <v>6</v>
      </c>
      <c r="I501" s="2" t="s">
        <v>78</v>
      </c>
      <c r="J501" s="3">
        <v>0.216741405082212</v>
      </c>
      <c r="K501" s="21">
        <v>1306.44827586207</v>
      </c>
      <c r="L501" s="21">
        <v>31572.5</v>
      </c>
      <c r="M501" s="21">
        <v>111.5</v>
      </c>
      <c r="N501" s="2" t="s">
        <v>79</v>
      </c>
    </row>
    <row r="502" s="2" customFormat="1" spans="1:14">
      <c r="A502" s="20">
        <v>45888</v>
      </c>
      <c r="B502" s="2" t="s">
        <v>84</v>
      </c>
      <c r="C502" s="2" t="s">
        <v>85</v>
      </c>
      <c r="D502" s="2">
        <v>2</v>
      </c>
      <c r="E502" s="2">
        <v>669</v>
      </c>
      <c r="F502" s="2">
        <v>131</v>
      </c>
      <c r="G502" s="2">
        <v>190924</v>
      </c>
      <c r="H502" s="2">
        <v>5</v>
      </c>
      <c r="I502" s="2" t="s">
        <v>78</v>
      </c>
      <c r="J502" s="3">
        <v>0.195814648729447</v>
      </c>
      <c r="K502" s="21">
        <v>1457.43511450382</v>
      </c>
      <c r="L502" s="21">
        <v>38184.8</v>
      </c>
      <c r="M502" s="21">
        <v>133.8</v>
      </c>
      <c r="N502" s="2" t="s">
        <v>79</v>
      </c>
    </row>
    <row r="503" s="2" customFormat="1" spans="1:14">
      <c r="A503" s="20">
        <v>45889</v>
      </c>
      <c r="B503" s="2" t="s">
        <v>84</v>
      </c>
      <c r="C503" s="2" t="s">
        <v>85</v>
      </c>
      <c r="D503" s="2">
        <v>2</v>
      </c>
      <c r="E503" s="2">
        <v>660</v>
      </c>
      <c r="F503" s="2">
        <v>136</v>
      </c>
      <c r="G503" s="2">
        <v>223763</v>
      </c>
      <c r="H503" s="2">
        <v>6</v>
      </c>
      <c r="I503" s="2" t="s">
        <v>78</v>
      </c>
      <c r="J503" s="3">
        <v>0.206060606060606</v>
      </c>
      <c r="K503" s="21">
        <v>1645.31617647059</v>
      </c>
      <c r="L503" s="21">
        <v>37293.8333333333</v>
      </c>
      <c r="M503" s="21">
        <v>110</v>
      </c>
      <c r="N503" s="2" t="s">
        <v>79</v>
      </c>
    </row>
    <row r="504" s="2" customFormat="1" spans="1:14">
      <c r="A504" s="20">
        <v>45890</v>
      </c>
      <c r="B504" s="2" t="s">
        <v>84</v>
      </c>
      <c r="C504" s="2" t="s">
        <v>85</v>
      </c>
      <c r="D504" s="2">
        <v>2</v>
      </c>
      <c r="E504" s="2">
        <v>674</v>
      </c>
      <c r="F504" s="2">
        <v>129</v>
      </c>
      <c r="G504" s="2">
        <v>203004</v>
      </c>
      <c r="H504" s="2">
        <v>4</v>
      </c>
      <c r="I504" s="2" t="s">
        <v>78</v>
      </c>
      <c r="J504" s="3">
        <v>0.191394658753709</v>
      </c>
      <c r="K504" s="21">
        <v>1573.67441860465</v>
      </c>
      <c r="L504" s="21">
        <v>50751</v>
      </c>
      <c r="M504" s="21">
        <v>168.5</v>
      </c>
      <c r="N504" s="2" t="s">
        <v>79</v>
      </c>
    </row>
    <row r="505" s="2" customFormat="1" spans="1:14">
      <c r="A505" s="20">
        <v>45891</v>
      </c>
      <c r="B505" s="2" t="s">
        <v>84</v>
      </c>
      <c r="C505" s="2" t="s">
        <v>85</v>
      </c>
      <c r="D505" s="2">
        <v>2</v>
      </c>
      <c r="E505" s="2">
        <v>563</v>
      </c>
      <c r="F505" s="2">
        <v>112</v>
      </c>
      <c r="G505" s="2">
        <v>174836</v>
      </c>
      <c r="H505" s="2">
        <v>4</v>
      </c>
      <c r="I505" s="2" t="s">
        <v>78</v>
      </c>
      <c r="J505" s="3">
        <v>0.198934280639432</v>
      </c>
      <c r="K505" s="21">
        <v>1561.03571428571</v>
      </c>
      <c r="L505" s="21">
        <v>43709</v>
      </c>
      <c r="M505" s="21">
        <v>140.75</v>
      </c>
      <c r="N505" s="2" t="s">
        <v>79</v>
      </c>
    </row>
    <row r="506" s="2" customFormat="1" spans="1:14">
      <c r="A506" s="20">
        <v>45892</v>
      </c>
      <c r="B506" s="2" t="s">
        <v>84</v>
      </c>
      <c r="C506" s="2" t="s">
        <v>85</v>
      </c>
      <c r="D506" s="2">
        <v>2</v>
      </c>
      <c r="E506" s="2">
        <v>1017</v>
      </c>
      <c r="F506" s="2">
        <v>200</v>
      </c>
      <c r="G506" s="2">
        <v>249491</v>
      </c>
      <c r="H506" s="2">
        <v>6</v>
      </c>
      <c r="I506" s="2" t="s">
        <v>78</v>
      </c>
      <c r="J506" s="3">
        <v>0.196656833824975</v>
      </c>
      <c r="K506" s="21">
        <v>1247.455</v>
      </c>
      <c r="L506" s="21">
        <v>41581.8333333333</v>
      </c>
      <c r="M506" s="21">
        <v>169.5</v>
      </c>
      <c r="N506" s="2" t="s">
        <v>80</v>
      </c>
    </row>
    <row r="507" s="2" customFormat="1" spans="1:14">
      <c r="A507" s="20">
        <v>45893</v>
      </c>
      <c r="B507" s="2" t="s">
        <v>84</v>
      </c>
      <c r="C507" s="2" t="s">
        <v>85</v>
      </c>
      <c r="D507" s="2">
        <v>2</v>
      </c>
      <c r="E507" s="2">
        <v>924</v>
      </c>
      <c r="F507" s="2">
        <v>174</v>
      </c>
      <c r="G507" s="2">
        <v>266971</v>
      </c>
      <c r="H507" s="2">
        <v>4</v>
      </c>
      <c r="I507" s="2" t="s">
        <v>78</v>
      </c>
      <c r="J507" s="3">
        <v>0.188311688311688</v>
      </c>
      <c r="K507" s="21">
        <v>1534.31609195402</v>
      </c>
      <c r="L507" s="21">
        <v>66742.75</v>
      </c>
      <c r="M507" s="21">
        <v>231</v>
      </c>
      <c r="N507" s="2" t="s">
        <v>80</v>
      </c>
    </row>
    <row r="508" s="2" customFormat="1" spans="1:14">
      <c r="A508" s="20">
        <v>45894</v>
      </c>
      <c r="B508" s="2" t="s">
        <v>84</v>
      </c>
      <c r="C508" s="2" t="s">
        <v>85</v>
      </c>
      <c r="D508" s="2">
        <v>2</v>
      </c>
      <c r="E508" s="2">
        <v>798</v>
      </c>
      <c r="F508" s="2">
        <v>142</v>
      </c>
      <c r="G508" s="2">
        <v>239398</v>
      </c>
      <c r="H508" s="2">
        <v>4</v>
      </c>
      <c r="I508" s="2" t="s">
        <v>78</v>
      </c>
      <c r="J508" s="3">
        <v>0.177944862155388</v>
      </c>
      <c r="K508" s="21">
        <v>1685.9014084507</v>
      </c>
      <c r="L508" s="21">
        <v>59849.5</v>
      </c>
      <c r="M508" s="21">
        <v>199.5</v>
      </c>
      <c r="N508" s="2" t="s">
        <v>79</v>
      </c>
    </row>
    <row r="509" s="2" customFormat="1" spans="1:14">
      <c r="A509" s="20">
        <v>45895</v>
      </c>
      <c r="B509" s="2" t="s">
        <v>84</v>
      </c>
      <c r="C509" s="2" t="s">
        <v>85</v>
      </c>
      <c r="D509" s="2">
        <v>2</v>
      </c>
      <c r="E509" s="2">
        <v>786</v>
      </c>
      <c r="F509" s="2">
        <v>180</v>
      </c>
      <c r="G509" s="2">
        <v>268356</v>
      </c>
      <c r="H509" s="2">
        <v>8</v>
      </c>
      <c r="I509" s="2" t="s">
        <v>78</v>
      </c>
      <c r="J509" s="3">
        <v>0.229007633587786</v>
      </c>
      <c r="K509" s="21">
        <v>1490.86666666667</v>
      </c>
      <c r="L509" s="21">
        <v>33544.5</v>
      </c>
      <c r="M509" s="21">
        <v>98.25</v>
      </c>
      <c r="N509" s="2" t="s">
        <v>79</v>
      </c>
    </row>
    <row r="510" s="2" customFormat="1" spans="1:14">
      <c r="A510" s="20">
        <v>45896</v>
      </c>
      <c r="B510" s="2" t="s">
        <v>84</v>
      </c>
      <c r="C510" s="2" t="s">
        <v>85</v>
      </c>
      <c r="D510" s="2">
        <v>2</v>
      </c>
      <c r="E510" s="2">
        <v>580</v>
      </c>
      <c r="F510" s="2">
        <v>134</v>
      </c>
      <c r="G510" s="2">
        <v>219151</v>
      </c>
      <c r="H510" s="2">
        <v>9</v>
      </c>
      <c r="I510" s="2" t="s">
        <v>78</v>
      </c>
      <c r="J510" s="3">
        <v>0.231034482758621</v>
      </c>
      <c r="K510" s="21">
        <v>1635.4552238806</v>
      </c>
      <c r="L510" s="21">
        <v>24350.1111111111</v>
      </c>
      <c r="M510" s="21">
        <v>64.4444444444444</v>
      </c>
      <c r="N510" s="2" t="s">
        <v>79</v>
      </c>
    </row>
    <row r="511" s="2" customFormat="1" spans="1:14">
      <c r="A511" s="20">
        <v>45897</v>
      </c>
      <c r="B511" s="2" t="s">
        <v>84</v>
      </c>
      <c r="C511" s="2" t="s">
        <v>85</v>
      </c>
      <c r="D511" s="2">
        <v>2</v>
      </c>
      <c r="E511" s="2">
        <v>599</v>
      </c>
      <c r="F511" s="2">
        <v>125</v>
      </c>
      <c r="G511" s="2">
        <v>158664</v>
      </c>
      <c r="H511" s="2">
        <v>5</v>
      </c>
      <c r="I511" s="2" t="s">
        <v>78</v>
      </c>
      <c r="J511" s="3">
        <v>0.208681135225376</v>
      </c>
      <c r="K511" s="21">
        <v>1269.312</v>
      </c>
      <c r="L511" s="21">
        <v>31732.8</v>
      </c>
      <c r="M511" s="21">
        <v>119.8</v>
      </c>
      <c r="N511" s="2" t="s">
        <v>79</v>
      </c>
    </row>
    <row r="512" s="2" customFormat="1" spans="1:14">
      <c r="A512" s="20">
        <v>45898</v>
      </c>
      <c r="B512" s="2" t="s">
        <v>84</v>
      </c>
      <c r="C512" s="2" t="s">
        <v>85</v>
      </c>
      <c r="D512" s="2">
        <v>2</v>
      </c>
      <c r="E512" s="2">
        <v>654</v>
      </c>
      <c r="F512" s="2">
        <v>120</v>
      </c>
      <c r="G512" s="2">
        <v>191422</v>
      </c>
      <c r="H512" s="2">
        <v>4</v>
      </c>
      <c r="I512" s="2" t="s">
        <v>78</v>
      </c>
      <c r="J512" s="3">
        <v>0.18348623853211</v>
      </c>
      <c r="K512" s="21">
        <v>1595.18333333333</v>
      </c>
      <c r="L512" s="21">
        <v>47855.5</v>
      </c>
      <c r="M512" s="21">
        <v>163.5</v>
      </c>
      <c r="N512" s="2" t="s">
        <v>79</v>
      </c>
    </row>
    <row r="513" s="2" customFormat="1" spans="1:14">
      <c r="A513" s="20">
        <v>45899</v>
      </c>
      <c r="B513" s="2" t="s">
        <v>84</v>
      </c>
      <c r="C513" s="2" t="s">
        <v>85</v>
      </c>
      <c r="D513" s="2">
        <v>2</v>
      </c>
      <c r="E513" s="2">
        <v>1017</v>
      </c>
      <c r="F513" s="2">
        <v>213</v>
      </c>
      <c r="G513" s="2">
        <v>315654</v>
      </c>
      <c r="H513" s="2">
        <v>5</v>
      </c>
      <c r="I513" s="2" t="s">
        <v>78</v>
      </c>
      <c r="J513" s="3">
        <v>0.209439528023599</v>
      </c>
      <c r="K513" s="21">
        <v>1481.94366197183</v>
      </c>
      <c r="L513" s="21">
        <v>63130.8</v>
      </c>
      <c r="M513" s="21">
        <v>203.4</v>
      </c>
      <c r="N513" s="2" t="s">
        <v>80</v>
      </c>
    </row>
    <row r="514" s="2" customFormat="1" spans="1:14">
      <c r="A514" s="20">
        <v>45900</v>
      </c>
      <c r="B514" s="2" t="s">
        <v>84</v>
      </c>
      <c r="C514" s="2" t="s">
        <v>85</v>
      </c>
      <c r="D514" s="2">
        <v>2</v>
      </c>
      <c r="E514" s="2">
        <v>748</v>
      </c>
      <c r="F514" s="2">
        <v>145</v>
      </c>
      <c r="G514" s="2">
        <v>207911</v>
      </c>
      <c r="H514" s="2">
        <v>7</v>
      </c>
      <c r="I514" s="2" t="s">
        <v>78</v>
      </c>
      <c r="J514" s="3">
        <v>0.193850267379679</v>
      </c>
      <c r="K514" s="21">
        <v>1433.86896551724</v>
      </c>
      <c r="L514" s="21">
        <v>29701.5714285714</v>
      </c>
      <c r="M514" s="21">
        <v>106.857142857143</v>
      </c>
      <c r="N514" s="2" t="s">
        <v>80</v>
      </c>
    </row>
    <row r="515" s="2" customFormat="1" spans="1:14">
      <c r="A515" s="20">
        <v>45901</v>
      </c>
      <c r="B515" s="2" t="s">
        <v>84</v>
      </c>
      <c r="C515" s="2" t="s">
        <v>85</v>
      </c>
      <c r="D515" s="2">
        <v>2</v>
      </c>
      <c r="E515" s="2">
        <v>669</v>
      </c>
      <c r="F515" s="2">
        <v>135</v>
      </c>
      <c r="G515" s="2">
        <v>154801</v>
      </c>
      <c r="H515" s="2">
        <v>8</v>
      </c>
      <c r="I515" s="2" t="s">
        <v>81</v>
      </c>
      <c r="J515" s="3">
        <v>0.201793721973094</v>
      </c>
      <c r="K515" s="21">
        <v>1146.67407407407</v>
      </c>
      <c r="L515" s="21">
        <v>19350.125</v>
      </c>
      <c r="M515" s="21">
        <v>83.625</v>
      </c>
      <c r="N515" s="2" t="s">
        <v>79</v>
      </c>
    </row>
    <row r="516" s="2" customFormat="1" spans="1:14">
      <c r="A516" s="20">
        <v>45902</v>
      </c>
      <c r="B516" s="2" t="s">
        <v>84</v>
      </c>
      <c r="C516" s="2" t="s">
        <v>85</v>
      </c>
      <c r="D516" s="2">
        <v>2</v>
      </c>
      <c r="E516" s="2">
        <v>564</v>
      </c>
      <c r="F516" s="2">
        <v>110</v>
      </c>
      <c r="G516" s="2">
        <v>185809</v>
      </c>
      <c r="H516" s="2">
        <v>9</v>
      </c>
      <c r="I516" s="2" t="s">
        <v>81</v>
      </c>
      <c r="J516" s="3">
        <v>0.195035460992908</v>
      </c>
      <c r="K516" s="21">
        <v>1689.17272727273</v>
      </c>
      <c r="L516" s="21">
        <v>20645.4444444444</v>
      </c>
      <c r="M516" s="21">
        <v>62.6666666666667</v>
      </c>
      <c r="N516" s="2" t="s">
        <v>79</v>
      </c>
    </row>
    <row r="517" s="2" customFormat="1" spans="1:14">
      <c r="A517" s="20">
        <v>45903</v>
      </c>
      <c r="B517" s="2" t="s">
        <v>84</v>
      </c>
      <c r="C517" s="2" t="s">
        <v>85</v>
      </c>
      <c r="D517" s="2">
        <v>2</v>
      </c>
      <c r="E517" s="2">
        <v>555</v>
      </c>
      <c r="F517" s="2">
        <v>103</v>
      </c>
      <c r="G517" s="2">
        <v>114444</v>
      </c>
      <c r="H517" s="2">
        <v>4</v>
      </c>
      <c r="I517" s="2" t="s">
        <v>78</v>
      </c>
      <c r="J517" s="3">
        <v>0.185585585585586</v>
      </c>
      <c r="K517" s="21">
        <v>1111.1067961165</v>
      </c>
      <c r="L517" s="21">
        <v>28611</v>
      </c>
      <c r="M517" s="21">
        <v>138.75</v>
      </c>
      <c r="N517" s="2" t="s">
        <v>79</v>
      </c>
    </row>
    <row r="518" s="2" customFormat="1" spans="1:14">
      <c r="A518" s="20">
        <v>45904</v>
      </c>
      <c r="B518" s="2" t="s">
        <v>84</v>
      </c>
      <c r="C518" s="2" t="s">
        <v>85</v>
      </c>
      <c r="D518" s="2">
        <v>2</v>
      </c>
      <c r="E518" s="2">
        <v>721</v>
      </c>
      <c r="F518" s="2">
        <v>167</v>
      </c>
      <c r="G518" s="2">
        <v>251242</v>
      </c>
      <c r="H518" s="2">
        <v>9</v>
      </c>
      <c r="I518" s="2" t="s">
        <v>78</v>
      </c>
      <c r="J518" s="3">
        <v>0.231622746185853</v>
      </c>
      <c r="K518" s="21">
        <v>1504.44311377246</v>
      </c>
      <c r="L518" s="21">
        <v>27915.7777777778</v>
      </c>
      <c r="M518" s="21">
        <v>80.1111111111111</v>
      </c>
      <c r="N518" s="2" t="s">
        <v>79</v>
      </c>
    </row>
    <row r="519" s="2" customFormat="1" spans="1:14">
      <c r="A519" s="20">
        <v>45905</v>
      </c>
      <c r="B519" s="2" t="s">
        <v>84</v>
      </c>
      <c r="C519" s="2" t="s">
        <v>85</v>
      </c>
      <c r="D519" s="2">
        <v>2</v>
      </c>
      <c r="E519" s="2">
        <v>645</v>
      </c>
      <c r="F519" s="2">
        <v>130</v>
      </c>
      <c r="G519" s="2">
        <v>171309</v>
      </c>
      <c r="H519" s="2">
        <v>8</v>
      </c>
      <c r="I519" s="2" t="s">
        <v>78</v>
      </c>
      <c r="J519" s="3">
        <v>0.201550387596899</v>
      </c>
      <c r="K519" s="21">
        <v>1317.76153846154</v>
      </c>
      <c r="L519" s="21">
        <v>21413.625</v>
      </c>
      <c r="M519" s="21">
        <v>80.625</v>
      </c>
      <c r="N519" s="2" t="s">
        <v>79</v>
      </c>
    </row>
    <row r="520" s="2" customFormat="1" spans="1:14">
      <c r="A520" s="20">
        <v>45906</v>
      </c>
      <c r="B520" s="2" t="s">
        <v>84</v>
      </c>
      <c r="C520" s="2" t="s">
        <v>85</v>
      </c>
      <c r="D520" s="2">
        <v>2</v>
      </c>
      <c r="E520" s="2">
        <v>1137</v>
      </c>
      <c r="F520" s="2">
        <v>257</v>
      </c>
      <c r="G520" s="2">
        <v>359619</v>
      </c>
      <c r="H520" s="2">
        <v>8</v>
      </c>
      <c r="I520" s="2" t="s">
        <v>78</v>
      </c>
      <c r="J520" s="3">
        <v>0.226033421284081</v>
      </c>
      <c r="K520" s="21">
        <v>1399.29571984436</v>
      </c>
      <c r="L520" s="21">
        <v>44952.375</v>
      </c>
      <c r="M520" s="21">
        <v>142.125</v>
      </c>
      <c r="N520" s="2" t="s">
        <v>80</v>
      </c>
    </row>
    <row r="521" s="2" customFormat="1" spans="1:14">
      <c r="A521" s="20">
        <v>45907</v>
      </c>
      <c r="B521" s="2" t="s">
        <v>84</v>
      </c>
      <c r="C521" s="2" t="s">
        <v>85</v>
      </c>
      <c r="D521" s="2">
        <v>2</v>
      </c>
      <c r="E521" s="2">
        <v>1214</v>
      </c>
      <c r="F521" s="2">
        <v>223</v>
      </c>
      <c r="G521" s="2">
        <v>339170</v>
      </c>
      <c r="H521" s="2">
        <v>6</v>
      </c>
      <c r="I521" s="2" t="s">
        <v>78</v>
      </c>
      <c r="J521" s="3">
        <v>0.183690280065898</v>
      </c>
      <c r="K521" s="21">
        <v>1520.94170403587</v>
      </c>
      <c r="L521" s="21">
        <v>56528.3333333333</v>
      </c>
      <c r="M521" s="21">
        <v>202.333333333333</v>
      </c>
      <c r="N521" s="2" t="s">
        <v>80</v>
      </c>
    </row>
    <row r="522" s="2" customFormat="1" spans="1:14">
      <c r="A522" s="20">
        <v>45908</v>
      </c>
      <c r="B522" s="2" t="s">
        <v>84</v>
      </c>
      <c r="C522" s="2" t="s">
        <v>85</v>
      </c>
      <c r="D522" s="2">
        <v>2</v>
      </c>
      <c r="E522" s="2">
        <v>640</v>
      </c>
      <c r="F522" s="2">
        <v>119</v>
      </c>
      <c r="G522" s="2">
        <v>141698</v>
      </c>
      <c r="H522" s="2">
        <v>4</v>
      </c>
      <c r="I522" s="2" t="s">
        <v>78</v>
      </c>
      <c r="J522" s="3">
        <v>0.1859375</v>
      </c>
      <c r="K522" s="21">
        <v>1190.73949579832</v>
      </c>
      <c r="L522" s="21">
        <v>35424.5</v>
      </c>
      <c r="M522" s="21">
        <v>160</v>
      </c>
      <c r="N522" s="2" t="s">
        <v>79</v>
      </c>
    </row>
    <row r="523" s="2" customFormat="1" spans="1:14">
      <c r="A523" s="20">
        <v>45909</v>
      </c>
      <c r="B523" s="2" t="s">
        <v>84</v>
      </c>
      <c r="C523" s="2" t="s">
        <v>85</v>
      </c>
      <c r="D523" s="2">
        <v>2</v>
      </c>
      <c r="E523" s="2">
        <v>636</v>
      </c>
      <c r="F523" s="2">
        <v>135</v>
      </c>
      <c r="G523" s="2">
        <v>213480</v>
      </c>
      <c r="H523" s="2">
        <v>7</v>
      </c>
      <c r="I523" s="2" t="s">
        <v>78</v>
      </c>
      <c r="J523" s="3">
        <v>0.212264150943396</v>
      </c>
      <c r="K523" s="21">
        <v>1581.33333333333</v>
      </c>
      <c r="L523" s="21">
        <v>30497.1428571429</v>
      </c>
      <c r="M523" s="21">
        <v>90.8571428571429</v>
      </c>
      <c r="N523" s="2" t="s">
        <v>79</v>
      </c>
    </row>
    <row r="524" s="2" customFormat="1" spans="1:14">
      <c r="A524" s="20">
        <v>45910</v>
      </c>
      <c r="B524" s="2" t="s">
        <v>84</v>
      </c>
      <c r="C524" s="2" t="s">
        <v>85</v>
      </c>
      <c r="D524" s="2">
        <v>2</v>
      </c>
      <c r="E524" s="2">
        <v>580</v>
      </c>
      <c r="F524" s="2">
        <v>117</v>
      </c>
      <c r="G524" s="2">
        <v>190118</v>
      </c>
      <c r="H524" s="2">
        <v>5</v>
      </c>
      <c r="I524" s="2" t="s">
        <v>78</v>
      </c>
      <c r="J524" s="3">
        <v>0.201724137931034</v>
      </c>
      <c r="K524" s="21">
        <v>1624.94017094017</v>
      </c>
      <c r="L524" s="21">
        <v>38023.6</v>
      </c>
      <c r="M524" s="21">
        <v>116</v>
      </c>
      <c r="N524" s="2" t="s">
        <v>79</v>
      </c>
    </row>
    <row r="525" s="2" customFormat="1" spans="1:14">
      <c r="A525" s="20">
        <v>45911</v>
      </c>
      <c r="B525" s="2" t="s">
        <v>84</v>
      </c>
      <c r="C525" s="2" t="s">
        <v>85</v>
      </c>
      <c r="D525" s="2">
        <v>2</v>
      </c>
      <c r="E525" s="2">
        <v>787</v>
      </c>
      <c r="F525" s="2">
        <v>174</v>
      </c>
      <c r="G525" s="2">
        <v>240167</v>
      </c>
      <c r="H525" s="2">
        <v>7</v>
      </c>
      <c r="I525" s="2" t="s">
        <v>78</v>
      </c>
      <c r="J525" s="3">
        <v>0.221092757306226</v>
      </c>
      <c r="K525" s="21">
        <v>1380.27011494253</v>
      </c>
      <c r="L525" s="21">
        <v>34309.5714285714</v>
      </c>
      <c r="M525" s="21">
        <v>112.428571428571</v>
      </c>
      <c r="N525" s="2" t="s">
        <v>79</v>
      </c>
    </row>
    <row r="526" s="2" customFormat="1" spans="1:14">
      <c r="A526" s="20">
        <v>45912</v>
      </c>
      <c r="B526" s="2" t="s">
        <v>84</v>
      </c>
      <c r="C526" s="2" t="s">
        <v>85</v>
      </c>
      <c r="D526" s="2">
        <v>2</v>
      </c>
      <c r="E526" s="2">
        <v>670</v>
      </c>
      <c r="F526" s="2">
        <v>153</v>
      </c>
      <c r="G526" s="2">
        <v>173441</v>
      </c>
      <c r="H526" s="2">
        <v>9</v>
      </c>
      <c r="I526" s="2" t="s">
        <v>78</v>
      </c>
      <c r="J526" s="3">
        <v>0.228358208955224</v>
      </c>
      <c r="K526" s="21">
        <v>1133.60130718954</v>
      </c>
      <c r="L526" s="21">
        <v>19271.2222222222</v>
      </c>
      <c r="M526" s="21">
        <v>74.4444444444444</v>
      </c>
      <c r="N526" s="2" t="s">
        <v>79</v>
      </c>
    </row>
    <row r="527" s="2" customFormat="1" spans="1:14">
      <c r="A527" s="20">
        <v>45913</v>
      </c>
      <c r="B527" s="2" t="s">
        <v>84</v>
      </c>
      <c r="C527" s="2" t="s">
        <v>85</v>
      </c>
      <c r="D527" s="2">
        <v>2</v>
      </c>
      <c r="E527" s="2">
        <v>1138</v>
      </c>
      <c r="F527" s="2">
        <v>237</v>
      </c>
      <c r="G527" s="2">
        <v>309470</v>
      </c>
      <c r="H527" s="2">
        <v>4</v>
      </c>
      <c r="I527" s="2" t="s">
        <v>78</v>
      </c>
      <c r="J527" s="3">
        <v>0.208260105448155</v>
      </c>
      <c r="K527" s="21">
        <v>1305.7805907173</v>
      </c>
      <c r="L527" s="21">
        <v>77367.5</v>
      </c>
      <c r="M527" s="21">
        <v>284.5</v>
      </c>
      <c r="N527" s="2" t="s">
        <v>80</v>
      </c>
    </row>
    <row r="528" s="2" customFormat="1" spans="1:14">
      <c r="A528" s="20">
        <v>45914</v>
      </c>
      <c r="B528" s="2" t="s">
        <v>84</v>
      </c>
      <c r="C528" s="2" t="s">
        <v>85</v>
      </c>
      <c r="D528" s="2">
        <v>2</v>
      </c>
      <c r="E528" s="2">
        <v>1030</v>
      </c>
      <c r="F528" s="2">
        <v>196</v>
      </c>
      <c r="G528" s="2">
        <v>282207</v>
      </c>
      <c r="H528" s="2">
        <v>6</v>
      </c>
      <c r="I528" s="2" t="s">
        <v>81</v>
      </c>
      <c r="J528" s="3">
        <v>0.190291262135922</v>
      </c>
      <c r="K528" s="21">
        <v>1439.83163265306</v>
      </c>
      <c r="L528" s="21">
        <v>47034.5</v>
      </c>
      <c r="M528" s="21">
        <v>171.666666666667</v>
      </c>
      <c r="N528" s="2" t="s">
        <v>80</v>
      </c>
    </row>
    <row r="529" s="2" customFormat="1" spans="1:14">
      <c r="A529" s="20">
        <v>45915</v>
      </c>
      <c r="B529" s="2" t="s">
        <v>84</v>
      </c>
      <c r="C529" s="2" t="s">
        <v>85</v>
      </c>
      <c r="D529" s="2">
        <v>2</v>
      </c>
      <c r="E529" s="2">
        <v>709</v>
      </c>
      <c r="F529" s="2">
        <v>153</v>
      </c>
      <c r="G529" s="2">
        <v>208643</v>
      </c>
      <c r="H529" s="2">
        <v>7</v>
      </c>
      <c r="I529" s="2" t="s">
        <v>78</v>
      </c>
      <c r="J529" s="3">
        <v>0.215796897038082</v>
      </c>
      <c r="K529" s="21">
        <v>1363.67973856209</v>
      </c>
      <c r="L529" s="21">
        <v>29806.1428571429</v>
      </c>
      <c r="M529" s="21">
        <v>101.285714285714</v>
      </c>
      <c r="N529" s="2" t="s">
        <v>79</v>
      </c>
    </row>
    <row r="530" s="2" customFormat="1" spans="1:14">
      <c r="A530" s="20">
        <v>45916</v>
      </c>
      <c r="B530" s="2" t="s">
        <v>84</v>
      </c>
      <c r="C530" s="2" t="s">
        <v>85</v>
      </c>
      <c r="D530" s="2">
        <v>2</v>
      </c>
      <c r="E530" s="2">
        <v>586</v>
      </c>
      <c r="F530" s="2">
        <v>105</v>
      </c>
      <c r="G530" s="2">
        <v>128886</v>
      </c>
      <c r="H530" s="2">
        <v>4</v>
      </c>
      <c r="I530" s="2" t="s">
        <v>81</v>
      </c>
      <c r="J530" s="3">
        <v>0.179180887372014</v>
      </c>
      <c r="K530" s="21">
        <v>1227.48571428571</v>
      </c>
      <c r="L530" s="21">
        <v>32221.5</v>
      </c>
      <c r="M530" s="21">
        <v>146.5</v>
      </c>
      <c r="N530" s="2" t="s">
        <v>79</v>
      </c>
    </row>
    <row r="531" s="2" customFormat="1" spans="1:14">
      <c r="A531" s="20">
        <v>45917</v>
      </c>
      <c r="B531" s="2" t="s">
        <v>84</v>
      </c>
      <c r="C531" s="2" t="s">
        <v>85</v>
      </c>
      <c r="D531" s="2">
        <v>2</v>
      </c>
      <c r="E531" s="2">
        <v>617</v>
      </c>
      <c r="F531" s="2">
        <v>122</v>
      </c>
      <c r="G531" s="2">
        <v>176753</v>
      </c>
      <c r="H531" s="2">
        <v>9</v>
      </c>
      <c r="I531" s="2" t="s">
        <v>78</v>
      </c>
      <c r="J531" s="3">
        <v>0.19773095623987</v>
      </c>
      <c r="K531" s="21">
        <v>1448.79508196721</v>
      </c>
      <c r="L531" s="21">
        <v>19639.2222222222</v>
      </c>
      <c r="M531" s="21">
        <v>68.5555555555556</v>
      </c>
      <c r="N531" s="2" t="s">
        <v>79</v>
      </c>
    </row>
    <row r="532" s="2" customFormat="1" spans="1:14">
      <c r="A532" s="20">
        <v>45918</v>
      </c>
      <c r="B532" s="2" t="s">
        <v>84</v>
      </c>
      <c r="C532" s="2" t="s">
        <v>85</v>
      </c>
      <c r="D532" s="2">
        <v>2</v>
      </c>
      <c r="E532" s="2">
        <v>703</v>
      </c>
      <c r="F532" s="2">
        <v>132</v>
      </c>
      <c r="G532" s="2">
        <v>164118</v>
      </c>
      <c r="H532" s="2">
        <v>6</v>
      </c>
      <c r="I532" s="2" t="s">
        <v>78</v>
      </c>
      <c r="J532" s="3">
        <v>0.187766714082504</v>
      </c>
      <c r="K532" s="21">
        <v>1243.31818181818</v>
      </c>
      <c r="L532" s="21">
        <v>27353</v>
      </c>
      <c r="M532" s="21">
        <v>117.166666666667</v>
      </c>
      <c r="N532" s="2" t="s">
        <v>79</v>
      </c>
    </row>
    <row r="533" s="2" customFormat="1" spans="1:14">
      <c r="A533" s="20">
        <v>45919</v>
      </c>
      <c r="B533" s="2" t="s">
        <v>84</v>
      </c>
      <c r="C533" s="2" t="s">
        <v>85</v>
      </c>
      <c r="D533" s="2">
        <v>2</v>
      </c>
      <c r="E533" s="2">
        <v>771</v>
      </c>
      <c r="F533" s="2">
        <v>148</v>
      </c>
      <c r="G533" s="2">
        <v>167197</v>
      </c>
      <c r="H533" s="2">
        <v>8</v>
      </c>
      <c r="I533" s="2" t="s">
        <v>78</v>
      </c>
      <c r="J533" s="3">
        <v>0.191958495460441</v>
      </c>
      <c r="K533" s="21">
        <v>1129.70945945946</v>
      </c>
      <c r="L533" s="21">
        <v>20899.625</v>
      </c>
      <c r="M533" s="21">
        <v>96.375</v>
      </c>
      <c r="N533" s="2" t="s">
        <v>79</v>
      </c>
    </row>
    <row r="534" s="2" customFormat="1" spans="1:14">
      <c r="A534" s="20">
        <v>45920</v>
      </c>
      <c r="B534" s="2" t="s">
        <v>84</v>
      </c>
      <c r="C534" s="2" t="s">
        <v>85</v>
      </c>
      <c r="D534" s="2">
        <v>2</v>
      </c>
      <c r="E534" s="2">
        <v>1054</v>
      </c>
      <c r="F534" s="2">
        <v>202</v>
      </c>
      <c r="G534" s="2">
        <v>291080</v>
      </c>
      <c r="H534" s="2">
        <v>6</v>
      </c>
      <c r="I534" s="2" t="s">
        <v>78</v>
      </c>
      <c r="J534" s="3">
        <v>0.191650853889943</v>
      </c>
      <c r="K534" s="21">
        <v>1440.9900990099</v>
      </c>
      <c r="L534" s="21">
        <v>48513.3333333333</v>
      </c>
      <c r="M534" s="21">
        <v>175.666666666667</v>
      </c>
      <c r="N534" s="2" t="s">
        <v>80</v>
      </c>
    </row>
    <row r="535" s="2" customFormat="1" spans="1:14">
      <c r="A535" s="20">
        <v>45921</v>
      </c>
      <c r="B535" s="2" t="s">
        <v>84</v>
      </c>
      <c r="C535" s="2" t="s">
        <v>85</v>
      </c>
      <c r="D535" s="2">
        <v>2</v>
      </c>
      <c r="E535" s="2">
        <v>1033</v>
      </c>
      <c r="F535" s="2">
        <v>231</v>
      </c>
      <c r="G535" s="2">
        <v>345073</v>
      </c>
      <c r="H535" s="2">
        <v>8</v>
      </c>
      <c r="I535" s="2" t="s">
        <v>78</v>
      </c>
      <c r="J535" s="3">
        <v>0.223620522749274</v>
      </c>
      <c r="K535" s="21">
        <v>1493.82251082251</v>
      </c>
      <c r="L535" s="21">
        <v>43134.125</v>
      </c>
      <c r="M535" s="21">
        <v>129.125</v>
      </c>
      <c r="N535" s="2" t="s">
        <v>80</v>
      </c>
    </row>
    <row r="536" s="2" customFormat="1" spans="1:14">
      <c r="A536" s="20">
        <v>45922</v>
      </c>
      <c r="B536" s="2" t="s">
        <v>84</v>
      </c>
      <c r="C536" s="2" t="s">
        <v>85</v>
      </c>
      <c r="D536" s="2">
        <v>2</v>
      </c>
      <c r="E536" s="2">
        <v>641</v>
      </c>
      <c r="F536" s="2">
        <v>137</v>
      </c>
      <c r="G536" s="2">
        <v>182195</v>
      </c>
      <c r="H536" s="2">
        <v>6</v>
      </c>
      <c r="I536" s="2" t="s">
        <v>78</v>
      </c>
      <c r="J536" s="3">
        <v>0.213728549141966</v>
      </c>
      <c r="K536" s="21">
        <v>1329.89051094891</v>
      </c>
      <c r="L536" s="21">
        <v>30365.8333333333</v>
      </c>
      <c r="M536" s="21">
        <v>106.833333333333</v>
      </c>
      <c r="N536" s="2" t="s">
        <v>79</v>
      </c>
    </row>
    <row r="537" s="2" customFormat="1" spans="1:14">
      <c r="A537" s="20">
        <v>45923</v>
      </c>
      <c r="B537" s="2" t="s">
        <v>84</v>
      </c>
      <c r="C537" s="2" t="s">
        <v>85</v>
      </c>
      <c r="D537" s="2">
        <v>2</v>
      </c>
      <c r="E537" s="2">
        <v>715</v>
      </c>
      <c r="F537" s="2">
        <v>163</v>
      </c>
      <c r="G537" s="2">
        <v>236506</v>
      </c>
      <c r="H537" s="2">
        <v>9</v>
      </c>
      <c r="I537" s="2" t="s">
        <v>78</v>
      </c>
      <c r="J537" s="3">
        <v>0.227972027972028</v>
      </c>
      <c r="K537" s="21">
        <v>1450.95705521472</v>
      </c>
      <c r="L537" s="21">
        <v>26278.4444444444</v>
      </c>
      <c r="M537" s="21">
        <v>79.4444444444444</v>
      </c>
      <c r="N537" s="2" t="s">
        <v>79</v>
      </c>
    </row>
    <row r="538" s="2" customFormat="1" spans="1:14">
      <c r="A538" s="20">
        <v>45924</v>
      </c>
      <c r="B538" s="2" t="s">
        <v>84</v>
      </c>
      <c r="C538" s="2" t="s">
        <v>85</v>
      </c>
      <c r="D538" s="2">
        <v>2</v>
      </c>
      <c r="E538" s="2">
        <v>626</v>
      </c>
      <c r="F538" s="2">
        <v>112</v>
      </c>
      <c r="G538" s="2">
        <v>125954</v>
      </c>
      <c r="H538" s="2">
        <v>5</v>
      </c>
      <c r="I538" s="2" t="s">
        <v>81</v>
      </c>
      <c r="J538" s="3">
        <v>0.178913738019169</v>
      </c>
      <c r="K538" s="21">
        <v>1124.58928571429</v>
      </c>
      <c r="L538" s="21">
        <v>25190.8</v>
      </c>
      <c r="M538" s="21">
        <v>125.2</v>
      </c>
      <c r="N538" s="2" t="s">
        <v>79</v>
      </c>
    </row>
    <row r="539" s="2" customFormat="1" spans="1:14">
      <c r="A539" s="20">
        <v>45925</v>
      </c>
      <c r="B539" s="2" t="s">
        <v>84</v>
      </c>
      <c r="C539" s="2" t="s">
        <v>85</v>
      </c>
      <c r="D539" s="2">
        <v>2</v>
      </c>
      <c r="E539" s="2">
        <v>594</v>
      </c>
      <c r="F539" s="2">
        <v>123</v>
      </c>
      <c r="G539" s="2">
        <v>157685</v>
      </c>
      <c r="H539" s="2">
        <v>8</v>
      </c>
      <c r="I539" s="2" t="s">
        <v>78</v>
      </c>
      <c r="J539" s="3">
        <v>0.207070707070707</v>
      </c>
      <c r="K539" s="21">
        <v>1281.9918699187</v>
      </c>
      <c r="L539" s="21">
        <v>19710.625</v>
      </c>
      <c r="M539" s="21">
        <v>74.25</v>
      </c>
      <c r="N539" s="2" t="s">
        <v>79</v>
      </c>
    </row>
    <row r="540" s="2" customFormat="1" spans="1:14">
      <c r="A540" s="20">
        <v>45926</v>
      </c>
      <c r="B540" s="2" t="s">
        <v>84</v>
      </c>
      <c r="C540" s="2" t="s">
        <v>85</v>
      </c>
      <c r="D540" s="2">
        <v>2</v>
      </c>
      <c r="E540" s="2">
        <v>764</v>
      </c>
      <c r="F540" s="2">
        <v>158</v>
      </c>
      <c r="G540" s="2">
        <v>175922</v>
      </c>
      <c r="H540" s="2">
        <v>9</v>
      </c>
      <c r="I540" s="2" t="s">
        <v>81</v>
      </c>
      <c r="J540" s="3">
        <v>0.206806282722513</v>
      </c>
      <c r="K540" s="21">
        <v>1113.43037974683</v>
      </c>
      <c r="L540" s="21">
        <v>19546.8888888889</v>
      </c>
      <c r="M540" s="21">
        <v>84.8888888888889</v>
      </c>
      <c r="N540" s="2" t="s">
        <v>79</v>
      </c>
    </row>
    <row r="541" s="2" customFormat="1" spans="1:14">
      <c r="A541" s="20">
        <v>45927</v>
      </c>
      <c r="B541" s="2" t="s">
        <v>84</v>
      </c>
      <c r="C541" s="2" t="s">
        <v>85</v>
      </c>
      <c r="D541" s="2">
        <v>2</v>
      </c>
      <c r="E541" s="2">
        <v>1144</v>
      </c>
      <c r="F541" s="2">
        <v>246</v>
      </c>
      <c r="G541" s="2">
        <v>272453</v>
      </c>
      <c r="H541" s="2">
        <v>4</v>
      </c>
      <c r="I541" s="2" t="s">
        <v>81</v>
      </c>
      <c r="J541" s="3">
        <v>0.215034965034965</v>
      </c>
      <c r="K541" s="21">
        <v>1107.5325203252</v>
      </c>
      <c r="L541" s="21">
        <v>68113.25</v>
      </c>
      <c r="M541" s="21">
        <v>286</v>
      </c>
      <c r="N541" s="2" t="s">
        <v>80</v>
      </c>
    </row>
    <row r="542" s="2" customFormat="1" spans="1:14">
      <c r="A542" s="20">
        <v>45748</v>
      </c>
      <c r="B542" s="2" t="s">
        <v>86</v>
      </c>
      <c r="C542" s="2" t="s">
        <v>87</v>
      </c>
      <c r="D542" s="2">
        <v>1</v>
      </c>
      <c r="E542" s="2">
        <v>991</v>
      </c>
      <c r="F542" s="2">
        <v>180</v>
      </c>
      <c r="G542" s="2">
        <v>299556</v>
      </c>
      <c r="H542" s="2">
        <v>6</v>
      </c>
      <c r="I542" s="2" t="s">
        <v>78</v>
      </c>
      <c r="J542" s="3">
        <v>0.181634712411705</v>
      </c>
      <c r="K542" s="21">
        <v>1664.2</v>
      </c>
      <c r="L542" s="21">
        <v>49926</v>
      </c>
      <c r="M542" s="21">
        <v>165.166666666667</v>
      </c>
      <c r="N542" s="2" t="s">
        <v>79</v>
      </c>
    </row>
    <row r="543" s="2" customFormat="1" spans="1:14">
      <c r="A543" s="20">
        <v>45749</v>
      </c>
      <c r="B543" s="2" t="s">
        <v>86</v>
      </c>
      <c r="C543" s="2" t="s">
        <v>87</v>
      </c>
      <c r="D543" s="2">
        <v>1</v>
      </c>
      <c r="E543" s="2">
        <v>888</v>
      </c>
      <c r="F543" s="2">
        <v>170</v>
      </c>
      <c r="G543" s="2">
        <v>197256</v>
      </c>
      <c r="H543" s="2">
        <v>9</v>
      </c>
      <c r="I543" s="2" t="s">
        <v>78</v>
      </c>
      <c r="J543" s="3">
        <v>0.191441441441441</v>
      </c>
      <c r="K543" s="21">
        <v>1160.32941176471</v>
      </c>
      <c r="L543" s="21">
        <v>21917.3333333333</v>
      </c>
      <c r="M543" s="21">
        <v>98.6666666666667</v>
      </c>
      <c r="N543" s="2" t="s">
        <v>79</v>
      </c>
    </row>
    <row r="544" s="2" customFormat="1" spans="1:14">
      <c r="A544" s="20">
        <v>45750</v>
      </c>
      <c r="B544" s="2" t="s">
        <v>86</v>
      </c>
      <c r="C544" s="2" t="s">
        <v>87</v>
      </c>
      <c r="D544" s="2">
        <v>1</v>
      </c>
      <c r="E544" s="2">
        <v>925</v>
      </c>
      <c r="F544" s="2">
        <v>181</v>
      </c>
      <c r="G544" s="2">
        <v>305908</v>
      </c>
      <c r="H544" s="2">
        <v>7</v>
      </c>
      <c r="I544" s="2" t="s">
        <v>78</v>
      </c>
      <c r="J544" s="3">
        <v>0.195675675675676</v>
      </c>
      <c r="K544" s="21">
        <v>1690.09944751381</v>
      </c>
      <c r="L544" s="21">
        <v>43701.1428571429</v>
      </c>
      <c r="M544" s="21">
        <v>132.142857142857</v>
      </c>
      <c r="N544" s="2" t="s">
        <v>79</v>
      </c>
    </row>
    <row r="545" s="2" customFormat="1" spans="1:14">
      <c r="A545" s="20">
        <v>45751</v>
      </c>
      <c r="B545" s="2" t="s">
        <v>86</v>
      </c>
      <c r="C545" s="2" t="s">
        <v>87</v>
      </c>
      <c r="D545" s="2">
        <v>1</v>
      </c>
      <c r="E545" s="2">
        <v>866</v>
      </c>
      <c r="F545" s="2">
        <v>161</v>
      </c>
      <c r="G545" s="2">
        <v>184731</v>
      </c>
      <c r="H545" s="2">
        <v>5</v>
      </c>
      <c r="I545" s="2" t="s">
        <v>78</v>
      </c>
      <c r="J545" s="3">
        <v>0.185912240184757</v>
      </c>
      <c r="K545" s="21">
        <v>1147.39751552795</v>
      </c>
      <c r="L545" s="21">
        <v>36946.2</v>
      </c>
      <c r="M545" s="21">
        <v>173.2</v>
      </c>
      <c r="N545" s="2" t="s">
        <v>79</v>
      </c>
    </row>
    <row r="546" s="2" customFormat="1" spans="1:14">
      <c r="A546" s="20">
        <v>45752</v>
      </c>
      <c r="B546" s="2" t="s">
        <v>86</v>
      </c>
      <c r="C546" s="2" t="s">
        <v>87</v>
      </c>
      <c r="D546" s="2">
        <v>1</v>
      </c>
      <c r="E546" s="2">
        <v>1212</v>
      </c>
      <c r="F546" s="2">
        <v>258</v>
      </c>
      <c r="G546" s="2">
        <v>418749</v>
      </c>
      <c r="H546" s="2">
        <v>9</v>
      </c>
      <c r="I546" s="2" t="s">
        <v>78</v>
      </c>
      <c r="J546" s="3">
        <v>0.212871287128713</v>
      </c>
      <c r="K546" s="21">
        <v>1623.05813953488</v>
      </c>
      <c r="L546" s="21">
        <v>46527.6666666667</v>
      </c>
      <c r="M546" s="21">
        <v>134.666666666667</v>
      </c>
      <c r="N546" s="2" t="s">
        <v>80</v>
      </c>
    </row>
    <row r="547" s="2" customFormat="1" spans="1:14">
      <c r="A547" s="20">
        <v>45753</v>
      </c>
      <c r="B547" s="2" t="s">
        <v>86</v>
      </c>
      <c r="C547" s="2" t="s">
        <v>87</v>
      </c>
      <c r="D547" s="2">
        <v>1</v>
      </c>
      <c r="E547" s="2">
        <v>1200</v>
      </c>
      <c r="F547" s="2">
        <v>241</v>
      </c>
      <c r="G547" s="2">
        <v>310314</v>
      </c>
      <c r="H547" s="2">
        <v>4</v>
      </c>
      <c r="I547" s="2" t="s">
        <v>81</v>
      </c>
      <c r="J547" s="3">
        <v>0.200833333333333</v>
      </c>
      <c r="K547" s="21">
        <v>1287.60995850622</v>
      </c>
      <c r="L547" s="21">
        <v>77578.5</v>
      </c>
      <c r="M547" s="21">
        <v>300</v>
      </c>
      <c r="N547" s="2" t="s">
        <v>80</v>
      </c>
    </row>
    <row r="548" s="2" customFormat="1" spans="1:14">
      <c r="A548" s="20">
        <v>45754</v>
      </c>
      <c r="B548" s="2" t="s">
        <v>86</v>
      </c>
      <c r="C548" s="2" t="s">
        <v>87</v>
      </c>
      <c r="D548" s="2">
        <v>1</v>
      </c>
      <c r="E548" s="2">
        <v>727</v>
      </c>
      <c r="F548" s="2">
        <v>153</v>
      </c>
      <c r="G548" s="2">
        <v>169693</v>
      </c>
      <c r="H548" s="2">
        <v>6</v>
      </c>
      <c r="I548" s="2" t="s">
        <v>81</v>
      </c>
      <c r="J548" s="3">
        <v>0.210453920220082</v>
      </c>
      <c r="K548" s="21">
        <v>1109.1045751634</v>
      </c>
      <c r="L548" s="21">
        <v>28282.1666666667</v>
      </c>
      <c r="M548" s="21">
        <v>121.166666666667</v>
      </c>
      <c r="N548" s="2" t="s">
        <v>79</v>
      </c>
    </row>
    <row r="549" s="2" customFormat="1" spans="1:14">
      <c r="A549" s="20">
        <v>45755</v>
      </c>
      <c r="B549" s="2" t="s">
        <v>86</v>
      </c>
      <c r="C549" s="2" t="s">
        <v>87</v>
      </c>
      <c r="D549" s="2">
        <v>1</v>
      </c>
      <c r="E549" s="2">
        <v>763</v>
      </c>
      <c r="F549" s="2">
        <v>155</v>
      </c>
      <c r="G549" s="2">
        <v>204362</v>
      </c>
      <c r="H549" s="2">
        <v>7</v>
      </c>
      <c r="I549" s="2" t="s">
        <v>78</v>
      </c>
      <c r="J549" s="3">
        <v>0.203145478374836</v>
      </c>
      <c r="K549" s="21">
        <v>1318.46451612903</v>
      </c>
      <c r="L549" s="21">
        <v>29194.5714285714</v>
      </c>
      <c r="M549" s="21">
        <v>109</v>
      </c>
      <c r="N549" s="2" t="s">
        <v>79</v>
      </c>
    </row>
    <row r="550" s="2" customFormat="1" spans="1:14">
      <c r="A550" s="20">
        <v>45756</v>
      </c>
      <c r="B550" s="2" t="s">
        <v>86</v>
      </c>
      <c r="C550" s="2" t="s">
        <v>87</v>
      </c>
      <c r="D550" s="2">
        <v>1</v>
      </c>
      <c r="E550" s="2">
        <v>1056</v>
      </c>
      <c r="F550" s="2">
        <v>216</v>
      </c>
      <c r="G550" s="2">
        <v>265864</v>
      </c>
      <c r="H550" s="2">
        <v>8</v>
      </c>
      <c r="I550" s="2" t="s">
        <v>78</v>
      </c>
      <c r="J550" s="3">
        <v>0.204545454545455</v>
      </c>
      <c r="K550" s="21">
        <v>1230.85185185185</v>
      </c>
      <c r="L550" s="21">
        <v>33233</v>
      </c>
      <c r="M550" s="21">
        <v>132</v>
      </c>
      <c r="N550" s="2" t="s">
        <v>79</v>
      </c>
    </row>
    <row r="551" s="2" customFormat="1" spans="1:14">
      <c r="A551" s="20">
        <v>45757</v>
      </c>
      <c r="B551" s="2" t="s">
        <v>86</v>
      </c>
      <c r="C551" s="2" t="s">
        <v>87</v>
      </c>
      <c r="D551" s="2">
        <v>1</v>
      </c>
      <c r="E551" s="2">
        <v>1089</v>
      </c>
      <c r="F551" s="2">
        <v>212</v>
      </c>
      <c r="G551" s="2">
        <v>240572</v>
      </c>
      <c r="H551" s="2">
        <v>5</v>
      </c>
      <c r="I551" s="2" t="s">
        <v>78</v>
      </c>
      <c r="J551" s="3">
        <v>0.194674012855831</v>
      </c>
      <c r="K551" s="21">
        <v>1134.77358490566</v>
      </c>
      <c r="L551" s="21">
        <v>48114.4</v>
      </c>
      <c r="M551" s="21">
        <v>217.8</v>
      </c>
      <c r="N551" s="2" t="s">
        <v>79</v>
      </c>
    </row>
    <row r="552" s="2" customFormat="1" spans="1:14">
      <c r="A552" s="20">
        <v>45758</v>
      </c>
      <c r="B552" s="2" t="s">
        <v>86</v>
      </c>
      <c r="C552" s="2" t="s">
        <v>87</v>
      </c>
      <c r="D552" s="2">
        <v>1</v>
      </c>
      <c r="E552" s="2">
        <v>1002</v>
      </c>
      <c r="F552" s="2">
        <v>198</v>
      </c>
      <c r="G552" s="2">
        <v>325776</v>
      </c>
      <c r="H552" s="2">
        <v>5</v>
      </c>
      <c r="I552" s="2" t="s">
        <v>78</v>
      </c>
      <c r="J552" s="3">
        <v>0.197604790419162</v>
      </c>
      <c r="K552" s="21">
        <v>1645.33333333333</v>
      </c>
      <c r="L552" s="21">
        <v>65155.2</v>
      </c>
      <c r="M552" s="21">
        <v>200.4</v>
      </c>
      <c r="N552" s="2" t="s">
        <v>79</v>
      </c>
    </row>
    <row r="553" s="2" customFormat="1" spans="1:14">
      <c r="A553" s="20">
        <v>45759</v>
      </c>
      <c r="B553" s="2" t="s">
        <v>86</v>
      </c>
      <c r="C553" s="2" t="s">
        <v>87</v>
      </c>
      <c r="D553" s="2">
        <v>1</v>
      </c>
      <c r="E553" s="2">
        <v>1333</v>
      </c>
      <c r="F553" s="2">
        <v>273</v>
      </c>
      <c r="G553" s="2">
        <v>457449</v>
      </c>
      <c r="H553" s="2">
        <v>9</v>
      </c>
      <c r="I553" s="2" t="s">
        <v>78</v>
      </c>
      <c r="J553" s="3">
        <v>0.204801200300075</v>
      </c>
      <c r="K553" s="21">
        <v>1675.63736263736</v>
      </c>
      <c r="L553" s="21">
        <v>50827.6666666667</v>
      </c>
      <c r="M553" s="21">
        <v>148.111111111111</v>
      </c>
      <c r="N553" s="2" t="s">
        <v>80</v>
      </c>
    </row>
    <row r="554" s="2" customFormat="1" spans="1:14">
      <c r="A554" s="20">
        <v>45760</v>
      </c>
      <c r="B554" s="2" t="s">
        <v>86</v>
      </c>
      <c r="C554" s="2" t="s">
        <v>87</v>
      </c>
      <c r="D554" s="2">
        <v>1</v>
      </c>
      <c r="E554" s="2">
        <v>1330</v>
      </c>
      <c r="F554" s="2">
        <v>258</v>
      </c>
      <c r="G554" s="2">
        <v>366897</v>
      </c>
      <c r="H554" s="2">
        <v>8</v>
      </c>
      <c r="I554" s="2" t="s">
        <v>78</v>
      </c>
      <c r="J554" s="3">
        <v>0.193984962406015</v>
      </c>
      <c r="K554" s="21">
        <v>1422.08139534884</v>
      </c>
      <c r="L554" s="21">
        <v>45862.125</v>
      </c>
      <c r="M554" s="21">
        <v>166.25</v>
      </c>
      <c r="N554" s="2" t="s">
        <v>80</v>
      </c>
    </row>
    <row r="555" s="2" customFormat="1" spans="1:14">
      <c r="A555" s="20">
        <v>45761</v>
      </c>
      <c r="B555" s="2" t="s">
        <v>86</v>
      </c>
      <c r="C555" s="2" t="s">
        <v>87</v>
      </c>
      <c r="D555" s="2">
        <v>1</v>
      </c>
      <c r="E555" s="2">
        <v>809</v>
      </c>
      <c r="F555" s="2">
        <v>175</v>
      </c>
      <c r="G555" s="2">
        <v>266005</v>
      </c>
      <c r="H555" s="2">
        <v>8</v>
      </c>
      <c r="I555" s="2" t="s">
        <v>78</v>
      </c>
      <c r="J555" s="3">
        <v>0.216316440049444</v>
      </c>
      <c r="K555" s="21">
        <v>1520.02857142857</v>
      </c>
      <c r="L555" s="21">
        <v>33250.625</v>
      </c>
      <c r="M555" s="21">
        <v>101.125</v>
      </c>
      <c r="N555" s="2" t="s">
        <v>79</v>
      </c>
    </row>
    <row r="556" s="2" customFormat="1" spans="1:14">
      <c r="A556" s="20">
        <v>45762</v>
      </c>
      <c r="B556" s="2" t="s">
        <v>86</v>
      </c>
      <c r="C556" s="2" t="s">
        <v>87</v>
      </c>
      <c r="D556" s="2">
        <v>1</v>
      </c>
      <c r="E556" s="2">
        <v>687</v>
      </c>
      <c r="F556" s="2">
        <v>144</v>
      </c>
      <c r="G556" s="2">
        <v>200189</v>
      </c>
      <c r="H556" s="2">
        <v>8</v>
      </c>
      <c r="I556" s="2" t="s">
        <v>78</v>
      </c>
      <c r="J556" s="3">
        <v>0.209606986899563</v>
      </c>
      <c r="K556" s="21">
        <v>1390.20138888889</v>
      </c>
      <c r="L556" s="21">
        <v>25023.625</v>
      </c>
      <c r="M556" s="21">
        <v>85.875</v>
      </c>
      <c r="N556" s="2" t="s">
        <v>79</v>
      </c>
    </row>
    <row r="557" s="2" customFormat="1" spans="1:14">
      <c r="A557" s="20">
        <v>45763</v>
      </c>
      <c r="B557" s="2" t="s">
        <v>86</v>
      </c>
      <c r="C557" s="2" t="s">
        <v>87</v>
      </c>
      <c r="D557" s="2">
        <v>1</v>
      </c>
      <c r="E557" s="2">
        <v>692</v>
      </c>
      <c r="F557" s="2">
        <v>133</v>
      </c>
      <c r="G557" s="2">
        <v>161974</v>
      </c>
      <c r="H557" s="2">
        <v>6</v>
      </c>
      <c r="I557" s="2" t="s">
        <v>78</v>
      </c>
      <c r="J557" s="3">
        <v>0.192196531791907</v>
      </c>
      <c r="K557" s="21">
        <v>1217.84962406015</v>
      </c>
      <c r="L557" s="21">
        <v>26995.6666666667</v>
      </c>
      <c r="M557" s="21">
        <v>115.333333333333</v>
      </c>
      <c r="N557" s="2" t="s">
        <v>79</v>
      </c>
    </row>
    <row r="558" s="2" customFormat="1" spans="1:14">
      <c r="A558" s="20">
        <v>45764</v>
      </c>
      <c r="B558" s="2" t="s">
        <v>86</v>
      </c>
      <c r="C558" s="2" t="s">
        <v>87</v>
      </c>
      <c r="D558" s="2">
        <v>1</v>
      </c>
      <c r="E558" s="2">
        <v>803</v>
      </c>
      <c r="F558" s="2">
        <v>167</v>
      </c>
      <c r="G558" s="2">
        <v>276939</v>
      </c>
      <c r="H558" s="2">
        <v>9</v>
      </c>
      <c r="I558" s="2" t="s">
        <v>78</v>
      </c>
      <c r="J558" s="3">
        <v>0.207970112079701</v>
      </c>
      <c r="K558" s="21">
        <v>1658.31736526946</v>
      </c>
      <c r="L558" s="21">
        <v>30771</v>
      </c>
      <c r="M558" s="21">
        <v>89.2222222222222</v>
      </c>
      <c r="N558" s="2" t="s">
        <v>79</v>
      </c>
    </row>
    <row r="559" s="2" customFormat="1" spans="1:14">
      <c r="A559" s="20">
        <v>45765</v>
      </c>
      <c r="B559" s="2" t="s">
        <v>86</v>
      </c>
      <c r="C559" s="2" t="s">
        <v>87</v>
      </c>
      <c r="D559" s="2">
        <v>1</v>
      </c>
      <c r="E559" s="2">
        <v>938</v>
      </c>
      <c r="F559" s="2">
        <v>169</v>
      </c>
      <c r="G559" s="2">
        <v>251541</v>
      </c>
      <c r="H559" s="2">
        <v>6</v>
      </c>
      <c r="I559" s="2" t="s">
        <v>78</v>
      </c>
      <c r="J559" s="3">
        <v>0.180170575692964</v>
      </c>
      <c r="K559" s="21">
        <v>1488.40828402367</v>
      </c>
      <c r="L559" s="21">
        <v>41923.5</v>
      </c>
      <c r="M559" s="21">
        <v>156.333333333333</v>
      </c>
      <c r="N559" s="2" t="s">
        <v>79</v>
      </c>
    </row>
    <row r="560" s="2" customFormat="1" spans="1:14">
      <c r="A560" s="20">
        <v>45766</v>
      </c>
      <c r="B560" s="2" t="s">
        <v>86</v>
      </c>
      <c r="C560" s="2" t="s">
        <v>87</v>
      </c>
      <c r="D560" s="2">
        <v>1</v>
      </c>
      <c r="E560" s="2">
        <v>1069</v>
      </c>
      <c r="F560" s="2">
        <v>201</v>
      </c>
      <c r="G560" s="2">
        <v>241566</v>
      </c>
      <c r="H560" s="2">
        <v>6</v>
      </c>
      <c r="I560" s="2" t="s">
        <v>81</v>
      </c>
      <c r="J560" s="3">
        <v>0.188026192703461</v>
      </c>
      <c r="K560" s="21">
        <v>1201.82089552239</v>
      </c>
      <c r="L560" s="21">
        <v>40261</v>
      </c>
      <c r="M560" s="21">
        <v>178.166666666667</v>
      </c>
      <c r="N560" s="2" t="s">
        <v>80</v>
      </c>
    </row>
    <row r="561" s="2" customFormat="1" spans="1:14">
      <c r="A561" s="20">
        <v>45767</v>
      </c>
      <c r="B561" s="2" t="s">
        <v>86</v>
      </c>
      <c r="C561" s="2" t="s">
        <v>87</v>
      </c>
      <c r="D561" s="2">
        <v>1</v>
      </c>
      <c r="E561" s="2">
        <v>1142</v>
      </c>
      <c r="F561" s="2">
        <v>240</v>
      </c>
      <c r="G561" s="2">
        <v>325222</v>
      </c>
      <c r="H561" s="2">
        <v>9</v>
      </c>
      <c r="I561" s="2" t="s">
        <v>78</v>
      </c>
      <c r="J561" s="3">
        <v>0.21015761821366</v>
      </c>
      <c r="K561" s="21">
        <v>1355.09166666667</v>
      </c>
      <c r="L561" s="21">
        <v>36135.7777777778</v>
      </c>
      <c r="M561" s="21">
        <v>126.888888888889</v>
      </c>
      <c r="N561" s="2" t="s">
        <v>80</v>
      </c>
    </row>
    <row r="562" s="2" customFormat="1" spans="1:14">
      <c r="A562" s="20">
        <v>45768</v>
      </c>
      <c r="B562" s="2" t="s">
        <v>86</v>
      </c>
      <c r="C562" s="2" t="s">
        <v>87</v>
      </c>
      <c r="D562" s="2">
        <v>1</v>
      </c>
      <c r="E562" s="2">
        <v>841</v>
      </c>
      <c r="F562" s="2">
        <v>179</v>
      </c>
      <c r="G562" s="2">
        <v>256640</v>
      </c>
      <c r="H562" s="2">
        <v>5</v>
      </c>
      <c r="I562" s="2" t="s">
        <v>78</v>
      </c>
      <c r="J562" s="3">
        <v>0.212841854934602</v>
      </c>
      <c r="K562" s="21">
        <v>1433.74301675978</v>
      </c>
      <c r="L562" s="21">
        <v>51328</v>
      </c>
      <c r="M562" s="21">
        <v>168.2</v>
      </c>
      <c r="N562" s="2" t="s">
        <v>79</v>
      </c>
    </row>
    <row r="563" s="2" customFormat="1" spans="1:14">
      <c r="A563" s="20">
        <v>45769</v>
      </c>
      <c r="B563" s="2" t="s">
        <v>86</v>
      </c>
      <c r="C563" s="2" t="s">
        <v>87</v>
      </c>
      <c r="D563" s="2">
        <v>1</v>
      </c>
      <c r="E563" s="2">
        <v>607</v>
      </c>
      <c r="F563" s="2">
        <v>128</v>
      </c>
      <c r="G563" s="2">
        <v>188912</v>
      </c>
      <c r="H563" s="2">
        <v>9</v>
      </c>
      <c r="I563" s="2" t="s">
        <v>81</v>
      </c>
      <c r="J563" s="3">
        <v>0.210873146622735</v>
      </c>
      <c r="K563" s="21">
        <v>1475.875</v>
      </c>
      <c r="L563" s="21">
        <v>20990.2222222222</v>
      </c>
      <c r="M563" s="21">
        <v>67.4444444444444</v>
      </c>
      <c r="N563" s="2" t="s">
        <v>79</v>
      </c>
    </row>
    <row r="564" s="2" customFormat="1" spans="1:14">
      <c r="A564" s="20">
        <v>45770</v>
      </c>
      <c r="B564" s="2" t="s">
        <v>86</v>
      </c>
      <c r="C564" s="2" t="s">
        <v>87</v>
      </c>
      <c r="D564" s="2">
        <v>1</v>
      </c>
      <c r="E564" s="2">
        <v>881</v>
      </c>
      <c r="F564" s="2">
        <v>190</v>
      </c>
      <c r="G564" s="2">
        <v>240167</v>
      </c>
      <c r="H564" s="2">
        <v>8</v>
      </c>
      <c r="I564" s="2" t="s">
        <v>78</v>
      </c>
      <c r="J564" s="3">
        <v>0.21566401816118</v>
      </c>
      <c r="K564" s="21">
        <v>1264.03684210526</v>
      </c>
      <c r="L564" s="21">
        <v>30020.875</v>
      </c>
      <c r="M564" s="21">
        <v>110.125</v>
      </c>
      <c r="N564" s="2" t="s">
        <v>79</v>
      </c>
    </row>
    <row r="565" s="2" customFormat="1" spans="1:14">
      <c r="A565" s="20">
        <v>45771</v>
      </c>
      <c r="B565" s="2" t="s">
        <v>86</v>
      </c>
      <c r="C565" s="2" t="s">
        <v>87</v>
      </c>
      <c r="D565" s="2">
        <v>1</v>
      </c>
      <c r="E565" s="2">
        <v>766</v>
      </c>
      <c r="F565" s="2">
        <v>157</v>
      </c>
      <c r="G565" s="2">
        <v>250998</v>
      </c>
      <c r="H565" s="2">
        <v>4</v>
      </c>
      <c r="I565" s="2" t="s">
        <v>78</v>
      </c>
      <c r="J565" s="3">
        <v>0.204960835509138</v>
      </c>
      <c r="K565" s="21">
        <v>1598.71337579618</v>
      </c>
      <c r="L565" s="21">
        <v>62749.5</v>
      </c>
      <c r="M565" s="21">
        <v>191.5</v>
      </c>
      <c r="N565" s="2" t="s">
        <v>79</v>
      </c>
    </row>
    <row r="566" s="2" customFormat="1" spans="1:14">
      <c r="A566" s="20">
        <v>45772</v>
      </c>
      <c r="B566" s="2" t="s">
        <v>86</v>
      </c>
      <c r="C566" s="2" t="s">
        <v>87</v>
      </c>
      <c r="D566" s="2">
        <v>1</v>
      </c>
      <c r="E566" s="2">
        <v>955</v>
      </c>
      <c r="F566" s="2">
        <v>196</v>
      </c>
      <c r="G566" s="2">
        <v>293127</v>
      </c>
      <c r="H566" s="2">
        <v>6</v>
      </c>
      <c r="I566" s="2" t="s">
        <v>78</v>
      </c>
      <c r="J566" s="3">
        <v>0.205235602094241</v>
      </c>
      <c r="K566" s="21">
        <v>1495.54591836735</v>
      </c>
      <c r="L566" s="21">
        <v>48854.5</v>
      </c>
      <c r="M566" s="21">
        <v>159.166666666667</v>
      </c>
      <c r="N566" s="2" t="s">
        <v>79</v>
      </c>
    </row>
    <row r="567" s="2" customFormat="1" spans="1:14">
      <c r="A567" s="20">
        <v>45773</v>
      </c>
      <c r="B567" s="2" t="s">
        <v>86</v>
      </c>
      <c r="C567" s="2" t="s">
        <v>87</v>
      </c>
      <c r="D567" s="2">
        <v>1</v>
      </c>
      <c r="E567" s="2">
        <v>1133</v>
      </c>
      <c r="F567" s="2">
        <v>219</v>
      </c>
      <c r="G567" s="2">
        <v>326700</v>
      </c>
      <c r="H567" s="2">
        <v>9</v>
      </c>
      <c r="I567" s="2" t="s">
        <v>78</v>
      </c>
      <c r="J567" s="3">
        <v>0.193292144748455</v>
      </c>
      <c r="K567" s="21">
        <v>1491.78082191781</v>
      </c>
      <c r="L567" s="21">
        <v>36300</v>
      </c>
      <c r="M567" s="21">
        <v>125.888888888889</v>
      </c>
      <c r="N567" s="2" t="s">
        <v>80</v>
      </c>
    </row>
    <row r="568" s="2" customFormat="1" spans="1:14">
      <c r="A568" s="20">
        <v>45774</v>
      </c>
      <c r="B568" s="2" t="s">
        <v>86</v>
      </c>
      <c r="C568" s="2" t="s">
        <v>87</v>
      </c>
      <c r="D568" s="2">
        <v>1</v>
      </c>
      <c r="E568" s="2">
        <v>1351</v>
      </c>
      <c r="F568" s="2">
        <v>307</v>
      </c>
      <c r="G568" s="2">
        <v>474768</v>
      </c>
      <c r="H568" s="2">
        <v>8</v>
      </c>
      <c r="I568" s="2" t="s">
        <v>81</v>
      </c>
      <c r="J568" s="3">
        <v>0.227239082161362</v>
      </c>
      <c r="K568" s="21">
        <v>1546.47557003257</v>
      </c>
      <c r="L568" s="21">
        <v>59346</v>
      </c>
      <c r="M568" s="21">
        <v>168.875</v>
      </c>
      <c r="N568" s="2" t="s">
        <v>80</v>
      </c>
    </row>
    <row r="569" s="2" customFormat="1" spans="1:14">
      <c r="A569" s="20">
        <v>45775</v>
      </c>
      <c r="B569" s="2" t="s">
        <v>86</v>
      </c>
      <c r="C569" s="2" t="s">
        <v>87</v>
      </c>
      <c r="D569" s="2">
        <v>1</v>
      </c>
      <c r="E569" s="2">
        <v>917</v>
      </c>
      <c r="F569" s="2">
        <v>181</v>
      </c>
      <c r="G569" s="2">
        <v>300661</v>
      </c>
      <c r="H569" s="2">
        <v>6</v>
      </c>
      <c r="I569" s="2" t="s">
        <v>81</v>
      </c>
      <c r="J569" s="3">
        <v>0.197382769901854</v>
      </c>
      <c r="K569" s="21">
        <v>1661.11049723757</v>
      </c>
      <c r="L569" s="21">
        <v>50110.1666666667</v>
      </c>
      <c r="M569" s="21">
        <v>152.833333333333</v>
      </c>
      <c r="N569" s="2" t="s">
        <v>79</v>
      </c>
    </row>
    <row r="570" s="2" customFormat="1" spans="1:14">
      <c r="A570" s="20">
        <v>45776</v>
      </c>
      <c r="B570" s="2" t="s">
        <v>86</v>
      </c>
      <c r="C570" s="2" t="s">
        <v>87</v>
      </c>
      <c r="D570" s="2">
        <v>1</v>
      </c>
      <c r="E570" s="2">
        <v>830</v>
      </c>
      <c r="F570" s="2">
        <v>161</v>
      </c>
      <c r="G570" s="2">
        <v>273334</v>
      </c>
      <c r="H570" s="2">
        <v>5</v>
      </c>
      <c r="I570" s="2" t="s">
        <v>78</v>
      </c>
      <c r="J570" s="3">
        <v>0.193975903614458</v>
      </c>
      <c r="K570" s="21">
        <v>1697.72670807453</v>
      </c>
      <c r="L570" s="21">
        <v>54666.8</v>
      </c>
      <c r="M570" s="21">
        <v>166</v>
      </c>
      <c r="N570" s="2" t="s">
        <v>79</v>
      </c>
    </row>
    <row r="571" s="2" customFormat="1" spans="1:14">
      <c r="A571" s="20">
        <v>45777</v>
      </c>
      <c r="B571" s="2" t="s">
        <v>86</v>
      </c>
      <c r="C571" s="2" t="s">
        <v>87</v>
      </c>
      <c r="D571" s="2">
        <v>1</v>
      </c>
      <c r="E571" s="2">
        <v>937</v>
      </c>
      <c r="F571" s="2">
        <v>174</v>
      </c>
      <c r="G571" s="2">
        <v>233811</v>
      </c>
      <c r="H571" s="2">
        <v>7</v>
      </c>
      <c r="I571" s="2" t="s">
        <v>78</v>
      </c>
      <c r="J571" s="3">
        <v>0.185699039487727</v>
      </c>
      <c r="K571" s="21">
        <v>1343.74137931035</v>
      </c>
      <c r="L571" s="21">
        <v>33401.5714285714</v>
      </c>
      <c r="M571" s="21">
        <v>133.857142857143</v>
      </c>
      <c r="N571" s="2" t="s">
        <v>79</v>
      </c>
    </row>
    <row r="572" s="2" customFormat="1" spans="1:14">
      <c r="A572" s="20">
        <v>45778</v>
      </c>
      <c r="B572" s="2" t="s">
        <v>86</v>
      </c>
      <c r="C572" s="2" t="s">
        <v>87</v>
      </c>
      <c r="D572" s="2">
        <v>1</v>
      </c>
      <c r="E572" s="2">
        <v>823</v>
      </c>
      <c r="F572" s="2">
        <v>176</v>
      </c>
      <c r="G572" s="2">
        <v>257106</v>
      </c>
      <c r="H572" s="2">
        <v>5</v>
      </c>
      <c r="I572" s="2" t="s">
        <v>78</v>
      </c>
      <c r="J572" s="3">
        <v>0.213851761846902</v>
      </c>
      <c r="K572" s="21">
        <v>1460.82954545455</v>
      </c>
      <c r="L572" s="21">
        <v>51421.2</v>
      </c>
      <c r="M572" s="21">
        <v>164.6</v>
      </c>
      <c r="N572" s="2" t="s">
        <v>79</v>
      </c>
    </row>
    <row r="573" s="2" customFormat="1" spans="1:14">
      <c r="A573" s="20">
        <v>45779</v>
      </c>
      <c r="B573" s="2" t="s">
        <v>86</v>
      </c>
      <c r="C573" s="2" t="s">
        <v>87</v>
      </c>
      <c r="D573" s="2">
        <v>1</v>
      </c>
      <c r="E573" s="2">
        <v>733</v>
      </c>
      <c r="F573" s="2">
        <v>139</v>
      </c>
      <c r="G573" s="2">
        <v>165507</v>
      </c>
      <c r="H573" s="2">
        <v>7</v>
      </c>
      <c r="I573" s="2" t="s">
        <v>78</v>
      </c>
      <c r="J573" s="3">
        <v>0.189631650750341</v>
      </c>
      <c r="K573" s="21">
        <v>1190.69784172662</v>
      </c>
      <c r="L573" s="21">
        <v>23643.8571428571</v>
      </c>
      <c r="M573" s="21">
        <v>104.714285714286</v>
      </c>
      <c r="N573" s="2" t="s">
        <v>79</v>
      </c>
    </row>
    <row r="574" s="2" customFormat="1" spans="1:14">
      <c r="A574" s="20">
        <v>45780</v>
      </c>
      <c r="B574" s="2" t="s">
        <v>86</v>
      </c>
      <c r="C574" s="2" t="s">
        <v>87</v>
      </c>
      <c r="D574" s="2">
        <v>1</v>
      </c>
      <c r="E574" s="2">
        <v>1078</v>
      </c>
      <c r="F574" s="2">
        <v>230</v>
      </c>
      <c r="G574" s="2">
        <v>316849</v>
      </c>
      <c r="H574" s="2">
        <v>8</v>
      </c>
      <c r="I574" s="2" t="s">
        <v>78</v>
      </c>
      <c r="J574" s="3">
        <v>0.213358070500928</v>
      </c>
      <c r="K574" s="21">
        <v>1377.60434782609</v>
      </c>
      <c r="L574" s="21">
        <v>39606.125</v>
      </c>
      <c r="M574" s="21">
        <v>134.75</v>
      </c>
      <c r="N574" s="2" t="s">
        <v>80</v>
      </c>
    </row>
    <row r="575" s="2" customFormat="1" spans="1:14">
      <c r="A575" s="20">
        <v>45781</v>
      </c>
      <c r="B575" s="2" t="s">
        <v>86</v>
      </c>
      <c r="C575" s="2" t="s">
        <v>87</v>
      </c>
      <c r="D575" s="2">
        <v>1</v>
      </c>
      <c r="E575" s="2">
        <v>1088</v>
      </c>
      <c r="F575" s="2">
        <v>223</v>
      </c>
      <c r="G575" s="2">
        <v>354899</v>
      </c>
      <c r="H575" s="2">
        <v>7</v>
      </c>
      <c r="I575" s="2" t="s">
        <v>78</v>
      </c>
      <c r="J575" s="3">
        <v>0.204963235294118</v>
      </c>
      <c r="K575" s="21">
        <v>1591.47533632287</v>
      </c>
      <c r="L575" s="21">
        <v>50699.8571428571</v>
      </c>
      <c r="M575" s="21">
        <v>155.428571428571</v>
      </c>
      <c r="N575" s="2" t="s">
        <v>80</v>
      </c>
    </row>
    <row r="576" s="2" customFormat="1" spans="1:14">
      <c r="A576" s="20">
        <v>45782</v>
      </c>
      <c r="B576" s="2" t="s">
        <v>86</v>
      </c>
      <c r="C576" s="2" t="s">
        <v>87</v>
      </c>
      <c r="D576" s="2">
        <v>1</v>
      </c>
      <c r="E576" s="2">
        <v>851</v>
      </c>
      <c r="F576" s="2">
        <v>188</v>
      </c>
      <c r="G576" s="2">
        <v>247494</v>
      </c>
      <c r="H576" s="2">
        <v>8</v>
      </c>
      <c r="I576" s="2" t="s">
        <v>78</v>
      </c>
      <c r="J576" s="3">
        <v>0.220916568742656</v>
      </c>
      <c r="K576" s="21">
        <v>1316.45744680851</v>
      </c>
      <c r="L576" s="21">
        <v>30936.75</v>
      </c>
      <c r="M576" s="21">
        <v>106.375</v>
      </c>
      <c r="N576" s="2" t="s">
        <v>79</v>
      </c>
    </row>
    <row r="577" s="2" customFormat="1" spans="1:14">
      <c r="A577" s="20">
        <v>45783</v>
      </c>
      <c r="B577" s="2" t="s">
        <v>86</v>
      </c>
      <c r="C577" s="2" t="s">
        <v>87</v>
      </c>
      <c r="D577" s="2">
        <v>1</v>
      </c>
      <c r="E577" s="2">
        <v>870</v>
      </c>
      <c r="F577" s="2">
        <v>175</v>
      </c>
      <c r="G577" s="2">
        <v>280629</v>
      </c>
      <c r="H577" s="2">
        <v>7</v>
      </c>
      <c r="I577" s="2" t="s">
        <v>78</v>
      </c>
      <c r="J577" s="3">
        <v>0.201149425287356</v>
      </c>
      <c r="K577" s="21">
        <v>1603.59428571429</v>
      </c>
      <c r="L577" s="21">
        <v>40089.8571428571</v>
      </c>
      <c r="M577" s="21">
        <v>124.285714285714</v>
      </c>
      <c r="N577" s="2" t="s">
        <v>79</v>
      </c>
    </row>
    <row r="578" s="2" customFormat="1" spans="1:14">
      <c r="A578" s="20">
        <v>45784</v>
      </c>
      <c r="B578" s="2" t="s">
        <v>86</v>
      </c>
      <c r="C578" s="2" t="s">
        <v>87</v>
      </c>
      <c r="D578" s="2">
        <v>1</v>
      </c>
      <c r="E578" s="2">
        <v>890</v>
      </c>
      <c r="F578" s="2">
        <v>195</v>
      </c>
      <c r="G578" s="2">
        <v>264201</v>
      </c>
      <c r="H578" s="2">
        <v>7</v>
      </c>
      <c r="I578" s="2" t="s">
        <v>78</v>
      </c>
      <c r="J578" s="3">
        <v>0.219101123595506</v>
      </c>
      <c r="K578" s="21">
        <v>1354.87692307692</v>
      </c>
      <c r="L578" s="21">
        <v>37743</v>
      </c>
      <c r="M578" s="21">
        <v>127.142857142857</v>
      </c>
      <c r="N578" s="2" t="s">
        <v>79</v>
      </c>
    </row>
    <row r="579" s="2" customFormat="1" spans="1:14">
      <c r="A579" s="20">
        <v>45785</v>
      </c>
      <c r="B579" s="2" t="s">
        <v>86</v>
      </c>
      <c r="C579" s="2" t="s">
        <v>87</v>
      </c>
      <c r="D579" s="2">
        <v>1</v>
      </c>
      <c r="E579" s="2">
        <v>899</v>
      </c>
      <c r="F579" s="2">
        <v>189</v>
      </c>
      <c r="G579" s="2">
        <v>314331</v>
      </c>
      <c r="H579" s="2">
        <v>5</v>
      </c>
      <c r="I579" s="2" t="s">
        <v>78</v>
      </c>
      <c r="J579" s="3">
        <v>0.210233592880979</v>
      </c>
      <c r="K579" s="21">
        <v>1663.12698412698</v>
      </c>
      <c r="L579" s="21">
        <v>62866.2</v>
      </c>
      <c r="M579" s="21">
        <v>179.8</v>
      </c>
      <c r="N579" s="2" t="s">
        <v>79</v>
      </c>
    </row>
    <row r="580" s="2" customFormat="1" spans="1:14">
      <c r="A580" s="20">
        <v>45786</v>
      </c>
      <c r="B580" s="2" t="s">
        <v>86</v>
      </c>
      <c r="C580" s="2" t="s">
        <v>87</v>
      </c>
      <c r="D580" s="2">
        <v>1</v>
      </c>
      <c r="E580" s="2">
        <v>937</v>
      </c>
      <c r="F580" s="2">
        <v>189</v>
      </c>
      <c r="G580" s="2">
        <v>294449</v>
      </c>
      <c r="H580" s="2">
        <v>7</v>
      </c>
      <c r="I580" s="2" t="s">
        <v>78</v>
      </c>
      <c r="J580" s="3">
        <v>0.2017075773746</v>
      </c>
      <c r="K580" s="21">
        <v>1557.93121693122</v>
      </c>
      <c r="L580" s="21">
        <v>42064.1428571429</v>
      </c>
      <c r="M580" s="21">
        <v>133.857142857143</v>
      </c>
      <c r="N580" s="2" t="s">
        <v>79</v>
      </c>
    </row>
    <row r="581" s="2" customFormat="1" spans="1:14">
      <c r="A581" s="20">
        <v>45787</v>
      </c>
      <c r="B581" s="2" t="s">
        <v>86</v>
      </c>
      <c r="C581" s="2" t="s">
        <v>87</v>
      </c>
      <c r="D581" s="2">
        <v>1</v>
      </c>
      <c r="E581" s="2">
        <v>1386</v>
      </c>
      <c r="F581" s="2">
        <v>320</v>
      </c>
      <c r="G581" s="2">
        <v>482341</v>
      </c>
      <c r="H581" s="2">
        <v>9</v>
      </c>
      <c r="I581" s="2" t="s">
        <v>78</v>
      </c>
      <c r="J581" s="3">
        <v>0.230880230880231</v>
      </c>
      <c r="K581" s="21">
        <v>1507.315625</v>
      </c>
      <c r="L581" s="21">
        <v>53593.4444444445</v>
      </c>
      <c r="M581" s="21">
        <v>154</v>
      </c>
      <c r="N581" s="2" t="s">
        <v>80</v>
      </c>
    </row>
    <row r="582" s="2" customFormat="1" spans="1:14">
      <c r="A582" s="20">
        <v>45788</v>
      </c>
      <c r="B582" s="2" t="s">
        <v>86</v>
      </c>
      <c r="C582" s="2" t="s">
        <v>87</v>
      </c>
      <c r="D582" s="2">
        <v>1</v>
      </c>
      <c r="E582" s="2">
        <v>1133</v>
      </c>
      <c r="F582" s="2">
        <v>212</v>
      </c>
      <c r="G582" s="2">
        <v>353281</v>
      </c>
      <c r="H582" s="2">
        <v>4</v>
      </c>
      <c r="I582" s="2" t="s">
        <v>78</v>
      </c>
      <c r="J582" s="3">
        <v>0.18711385701677</v>
      </c>
      <c r="K582" s="21">
        <v>1666.41981132075</v>
      </c>
      <c r="L582" s="21">
        <v>88320.25</v>
      </c>
      <c r="M582" s="21">
        <v>283.25</v>
      </c>
      <c r="N582" s="2" t="s">
        <v>80</v>
      </c>
    </row>
    <row r="583" s="2" customFormat="1" spans="1:14">
      <c r="A583" s="20">
        <v>45789</v>
      </c>
      <c r="B583" s="2" t="s">
        <v>86</v>
      </c>
      <c r="C583" s="2" t="s">
        <v>87</v>
      </c>
      <c r="D583" s="2">
        <v>1</v>
      </c>
      <c r="E583" s="2">
        <v>827</v>
      </c>
      <c r="F583" s="2">
        <v>165</v>
      </c>
      <c r="G583" s="2">
        <v>226956</v>
      </c>
      <c r="H583" s="2">
        <v>5</v>
      </c>
      <c r="I583" s="2" t="s">
        <v>78</v>
      </c>
      <c r="J583" s="3">
        <v>0.199516324062878</v>
      </c>
      <c r="K583" s="21">
        <v>1375.49090909091</v>
      </c>
      <c r="L583" s="21">
        <v>45391.2</v>
      </c>
      <c r="M583" s="21">
        <v>165.4</v>
      </c>
      <c r="N583" s="2" t="s">
        <v>79</v>
      </c>
    </row>
    <row r="584" s="2" customFormat="1" spans="1:14">
      <c r="A584" s="20">
        <v>45790</v>
      </c>
      <c r="B584" s="2" t="s">
        <v>86</v>
      </c>
      <c r="C584" s="2" t="s">
        <v>87</v>
      </c>
      <c r="D584" s="2">
        <v>1</v>
      </c>
      <c r="E584" s="2">
        <v>902</v>
      </c>
      <c r="F584" s="2">
        <v>166</v>
      </c>
      <c r="G584" s="2">
        <v>229722</v>
      </c>
      <c r="H584" s="2">
        <v>4</v>
      </c>
      <c r="I584" s="2" t="s">
        <v>81</v>
      </c>
      <c r="J584" s="3">
        <v>0.184035476718404</v>
      </c>
      <c r="K584" s="21">
        <v>1383.86746987952</v>
      </c>
      <c r="L584" s="21">
        <v>57430.5</v>
      </c>
      <c r="M584" s="21">
        <v>225.5</v>
      </c>
      <c r="N584" s="2" t="s">
        <v>79</v>
      </c>
    </row>
    <row r="585" s="2" customFormat="1" spans="1:14">
      <c r="A585" s="20">
        <v>45791</v>
      </c>
      <c r="B585" s="2" t="s">
        <v>86</v>
      </c>
      <c r="C585" s="2" t="s">
        <v>87</v>
      </c>
      <c r="D585" s="2">
        <v>1</v>
      </c>
      <c r="E585" s="2">
        <v>933</v>
      </c>
      <c r="F585" s="2">
        <v>197</v>
      </c>
      <c r="G585" s="2">
        <v>324817</v>
      </c>
      <c r="H585" s="2">
        <v>6</v>
      </c>
      <c r="I585" s="2" t="s">
        <v>78</v>
      </c>
      <c r="J585" s="3">
        <v>0.211146838156484</v>
      </c>
      <c r="K585" s="21">
        <v>1648.81725888325</v>
      </c>
      <c r="L585" s="21">
        <v>54136.1666666667</v>
      </c>
      <c r="M585" s="21">
        <v>155.5</v>
      </c>
      <c r="N585" s="2" t="s">
        <v>79</v>
      </c>
    </row>
    <row r="586" s="2" customFormat="1" spans="1:14">
      <c r="A586" s="20">
        <v>45792</v>
      </c>
      <c r="B586" s="2" t="s">
        <v>86</v>
      </c>
      <c r="C586" s="2" t="s">
        <v>87</v>
      </c>
      <c r="D586" s="2">
        <v>1</v>
      </c>
      <c r="E586" s="2">
        <v>757</v>
      </c>
      <c r="F586" s="2">
        <v>135</v>
      </c>
      <c r="G586" s="2">
        <v>216607</v>
      </c>
      <c r="H586" s="2">
        <v>4</v>
      </c>
      <c r="I586" s="2" t="s">
        <v>78</v>
      </c>
      <c r="J586" s="3">
        <v>0.178335535006605</v>
      </c>
      <c r="K586" s="21">
        <v>1604.4962962963</v>
      </c>
      <c r="L586" s="21">
        <v>54151.75</v>
      </c>
      <c r="M586" s="21">
        <v>189.25</v>
      </c>
      <c r="N586" s="2" t="s">
        <v>79</v>
      </c>
    </row>
    <row r="587" s="2" customFormat="1" spans="1:14">
      <c r="A587" s="20">
        <v>45793</v>
      </c>
      <c r="B587" s="2" t="s">
        <v>86</v>
      </c>
      <c r="C587" s="2" t="s">
        <v>87</v>
      </c>
      <c r="D587" s="2">
        <v>1</v>
      </c>
      <c r="E587" s="2">
        <v>896</v>
      </c>
      <c r="F587" s="2">
        <v>192</v>
      </c>
      <c r="G587" s="2">
        <v>218687</v>
      </c>
      <c r="H587" s="2">
        <v>9</v>
      </c>
      <c r="I587" s="2" t="s">
        <v>78</v>
      </c>
      <c r="J587" s="3">
        <v>0.214285714285714</v>
      </c>
      <c r="K587" s="21">
        <v>1138.99479166667</v>
      </c>
      <c r="L587" s="21">
        <v>24298.5555555556</v>
      </c>
      <c r="M587" s="21">
        <v>99.5555555555556</v>
      </c>
      <c r="N587" s="2" t="s">
        <v>79</v>
      </c>
    </row>
    <row r="588" s="2" customFormat="1" spans="1:14">
      <c r="A588" s="20">
        <v>45794</v>
      </c>
      <c r="B588" s="2" t="s">
        <v>86</v>
      </c>
      <c r="C588" s="2" t="s">
        <v>87</v>
      </c>
      <c r="D588" s="2">
        <v>1</v>
      </c>
      <c r="E588" s="2">
        <v>1482</v>
      </c>
      <c r="F588" s="2">
        <v>289</v>
      </c>
      <c r="G588" s="2">
        <v>441615</v>
      </c>
      <c r="H588" s="2">
        <v>8</v>
      </c>
      <c r="I588" s="2" t="s">
        <v>78</v>
      </c>
      <c r="J588" s="3">
        <v>0.195006747638327</v>
      </c>
      <c r="K588" s="21">
        <v>1528.07958477509</v>
      </c>
      <c r="L588" s="21">
        <v>55201.875</v>
      </c>
      <c r="M588" s="21">
        <v>185.25</v>
      </c>
      <c r="N588" s="2" t="s">
        <v>80</v>
      </c>
    </row>
    <row r="589" s="2" customFormat="1" spans="1:14">
      <c r="A589" s="20">
        <v>45795</v>
      </c>
      <c r="B589" s="2" t="s">
        <v>86</v>
      </c>
      <c r="C589" s="2" t="s">
        <v>87</v>
      </c>
      <c r="D589" s="2">
        <v>1</v>
      </c>
      <c r="E589" s="2">
        <v>1047</v>
      </c>
      <c r="F589" s="2">
        <v>243</v>
      </c>
      <c r="G589" s="2">
        <v>368284</v>
      </c>
      <c r="H589" s="2">
        <v>9</v>
      </c>
      <c r="I589" s="2" t="s">
        <v>81</v>
      </c>
      <c r="J589" s="3">
        <v>0.232091690544413</v>
      </c>
      <c r="K589" s="21">
        <v>1515.5720164609</v>
      </c>
      <c r="L589" s="21">
        <v>40920.4444444445</v>
      </c>
      <c r="M589" s="21">
        <v>116.333333333333</v>
      </c>
      <c r="N589" s="2" t="s">
        <v>80</v>
      </c>
    </row>
    <row r="590" s="2" customFormat="1" spans="1:14">
      <c r="A590" s="20">
        <v>45796</v>
      </c>
      <c r="B590" s="2" t="s">
        <v>86</v>
      </c>
      <c r="C590" s="2" t="s">
        <v>87</v>
      </c>
      <c r="D590" s="2">
        <v>1</v>
      </c>
      <c r="E590" s="2">
        <v>818</v>
      </c>
      <c r="F590" s="2">
        <v>164</v>
      </c>
      <c r="G590" s="2">
        <v>194160</v>
      </c>
      <c r="H590" s="2">
        <v>9</v>
      </c>
      <c r="I590" s="2" t="s">
        <v>78</v>
      </c>
      <c r="J590" s="3">
        <v>0.200488997555012</v>
      </c>
      <c r="K590" s="21">
        <v>1183.90243902439</v>
      </c>
      <c r="L590" s="21">
        <v>21573.3333333333</v>
      </c>
      <c r="M590" s="21">
        <v>90.8888888888889</v>
      </c>
      <c r="N590" s="2" t="s">
        <v>79</v>
      </c>
    </row>
    <row r="591" s="2" customFormat="1" spans="1:14">
      <c r="A591" s="20">
        <v>45797</v>
      </c>
      <c r="B591" s="2" t="s">
        <v>86</v>
      </c>
      <c r="C591" s="2" t="s">
        <v>87</v>
      </c>
      <c r="D591" s="2">
        <v>1</v>
      </c>
      <c r="E591" s="2">
        <v>899</v>
      </c>
      <c r="F591" s="2">
        <v>190</v>
      </c>
      <c r="G591" s="2">
        <v>299422</v>
      </c>
      <c r="H591" s="2">
        <v>6</v>
      </c>
      <c r="I591" s="2" t="s">
        <v>81</v>
      </c>
      <c r="J591" s="3">
        <v>0.211345939933259</v>
      </c>
      <c r="K591" s="21">
        <v>1575.90526315789</v>
      </c>
      <c r="L591" s="21">
        <v>49903.6666666667</v>
      </c>
      <c r="M591" s="21">
        <v>149.833333333333</v>
      </c>
      <c r="N591" s="2" t="s">
        <v>79</v>
      </c>
    </row>
    <row r="592" s="2" customFormat="1" spans="1:14">
      <c r="A592" s="20">
        <v>45798</v>
      </c>
      <c r="B592" s="2" t="s">
        <v>86</v>
      </c>
      <c r="C592" s="2" t="s">
        <v>87</v>
      </c>
      <c r="D592" s="2">
        <v>1</v>
      </c>
      <c r="E592" s="2">
        <v>992</v>
      </c>
      <c r="F592" s="2">
        <v>187</v>
      </c>
      <c r="G592" s="2">
        <v>265485</v>
      </c>
      <c r="H592" s="2">
        <v>7</v>
      </c>
      <c r="I592" s="2" t="s">
        <v>81</v>
      </c>
      <c r="J592" s="3">
        <v>0.188508064516129</v>
      </c>
      <c r="K592" s="21">
        <v>1419.70588235294</v>
      </c>
      <c r="L592" s="21">
        <v>37926.4285714286</v>
      </c>
      <c r="M592" s="21">
        <v>141.714285714286</v>
      </c>
      <c r="N592" s="2" t="s">
        <v>79</v>
      </c>
    </row>
    <row r="593" s="2" customFormat="1" spans="1:14">
      <c r="A593" s="20">
        <v>45799</v>
      </c>
      <c r="B593" s="2" t="s">
        <v>86</v>
      </c>
      <c r="C593" s="2" t="s">
        <v>87</v>
      </c>
      <c r="D593" s="2">
        <v>1</v>
      </c>
      <c r="E593" s="2">
        <v>802</v>
      </c>
      <c r="F593" s="2">
        <v>167</v>
      </c>
      <c r="G593" s="2">
        <v>276569</v>
      </c>
      <c r="H593" s="2">
        <v>8</v>
      </c>
      <c r="I593" s="2" t="s">
        <v>81</v>
      </c>
      <c r="J593" s="3">
        <v>0.208229426433915</v>
      </c>
      <c r="K593" s="21">
        <v>1656.10179640719</v>
      </c>
      <c r="L593" s="21">
        <v>34571.125</v>
      </c>
      <c r="M593" s="21">
        <v>100.25</v>
      </c>
      <c r="N593" s="2" t="s">
        <v>79</v>
      </c>
    </row>
    <row r="594" s="2" customFormat="1" spans="1:14">
      <c r="A594" s="20">
        <v>45800</v>
      </c>
      <c r="B594" s="2" t="s">
        <v>86</v>
      </c>
      <c r="C594" s="2" t="s">
        <v>87</v>
      </c>
      <c r="D594" s="2">
        <v>1</v>
      </c>
      <c r="E594" s="2">
        <v>879</v>
      </c>
      <c r="F594" s="2">
        <v>165</v>
      </c>
      <c r="G594" s="2">
        <v>263339</v>
      </c>
      <c r="H594" s="2">
        <v>7</v>
      </c>
      <c r="I594" s="2" t="s">
        <v>78</v>
      </c>
      <c r="J594" s="3">
        <v>0.187713310580205</v>
      </c>
      <c r="K594" s="21">
        <v>1595.99393939394</v>
      </c>
      <c r="L594" s="21">
        <v>37619.8571428571</v>
      </c>
      <c r="M594" s="21">
        <v>125.571428571429</v>
      </c>
      <c r="N594" s="2" t="s">
        <v>79</v>
      </c>
    </row>
    <row r="595" s="2" customFormat="1" spans="1:14">
      <c r="A595" s="20">
        <v>45801</v>
      </c>
      <c r="B595" s="2" t="s">
        <v>86</v>
      </c>
      <c r="C595" s="2" t="s">
        <v>87</v>
      </c>
      <c r="D595" s="2">
        <v>1</v>
      </c>
      <c r="E595" s="2">
        <v>1129</v>
      </c>
      <c r="F595" s="2">
        <v>227</v>
      </c>
      <c r="G595" s="2">
        <v>329661</v>
      </c>
      <c r="H595" s="2">
        <v>5</v>
      </c>
      <c r="I595" s="2" t="s">
        <v>78</v>
      </c>
      <c r="J595" s="3">
        <v>0.201062887511072</v>
      </c>
      <c r="K595" s="21">
        <v>1452.25110132159</v>
      </c>
      <c r="L595" s="21">
        <v>65932.2</v>
      </c>
      <c r="M595" s="21">
        <v>225.8</v>
      </c>
      <c r="N595" s="2" t="s">
        <v>80</v>
      </c>
    </row>
    <row r="596" s="2" customFormat="1" spans="1:14">
      <c r="A596" s="20">
        <v>45802</v>
      </c>
      <c r="B596" s="2" t="s">
        <v>86</v>
      </c>
      <c r="C596" s="2" t="s">
        <v>87</v>
      </c>
      <c r="D596" s="2">
        <v>1</v>
      </c>
      <c r="E596" s="2">
        <v>1087</v>
      </c>
      <c r="F596" s="2">
        <v>225</v>
      </c>
      <c r="G596" s="2">
        <v>255674</v>
      </c>
      <c r="H596" s="2">
        <v>4</v>
      </c>
      <c r="I596" s="2" t="s">
        <v>78</v>
      </c>
      <c r="J596" s="3">
        <v>0.206991720331187</v>
      </c>
      <c r="K596" s="21">
        <v>1136.32888888889</v>
      </c>
      <c r="L596" s="21">
        <v>63918.5</v>
      </c>
      <c r="M596" s="21">
        <v>271.75</v>
      </c>
      <c r="N596" s="2" t="s">
        <v>80</v>
      </c>
    </row>
    <row r="597" s="2" customFormat="1" spans="1:14">
      <c r="A597" s="20">
        <v>45803</v>
      </c>
      <c r="B597" s="2" t="s">
        <v>86</v>
      </c>
      <c r="C597" s="2" t="s">
        <v>87</v>
      </c>
      <c r="D597" s="2">
        <v>1</v>
      </c>
      <c r="E597" s="2">
        <v>834</v>
      </c>
      <c r="F597" s="2">
        <v>189</v>
      </c>
      <c r="G597" s="2">
        <v>291579</v>
      </c>
      <c r="H597" s="2">
        <v>8</v>
      </c>
      <c r="I597" s="2" t="s">
        <v>78</v>
      </c>
      <c r="J597" s="3">
        <v>0.226618705035971</v>
      </c>
      <c r="K597" s="21">
        <v>1542.74603174603</v>
      </c>
      <c r="L597" s="21">
        <v>36447.375</v>
      </c>
      <c r="M597" s="21">
        <v>104.25</v>
      </c>
      <c r="N597" s="2" t="s">
        <v>79</v>
      </c>
    </row>
    <row r="598" s="2" customFormat="1" spans="1:14">
      <c r="A598" s="20">
        <v>45804</v>
      </c>
      <c r="B598" s="2" t="s">
        <v>86</v>
      </c>
      <c r="C598" s="2" t="s">
        <v>87</v>
      </c>
      <c r="D598" s="2">
        <v>1</v>
      </c>
      <c r="E598" s="2">
        <v>756</v>
      </c>
      <c r="F598" s="2">
        <v>151</v>
      </c>
      <c r="G598" s="2">
        <v>231722</v>
      </c>
      <c r="H598" s="2">
        <v>9</v>
      </c>
      <c r="I598" s="2" t="s">
        <v>81</v>
      </c>
      <c r="J598" s="3">
        <v>0.19973544973545</v>
      </c>
      <c r="K598" s="21">
        <v>1534.58278145695</v>
      </c>
      <c r="L598" s="21">
        <v>25746.8888888889</v>
      </c>
      <c r="M598" s="21">
        <v>84</v>
      </c>
      <c r="N598" s="2" t="s">
        <v>79</v>
      </c>
    </row>
    <row r="599" s="2" customFormat="1" spans="1:14">
      <c r="A599" s="20">
        <v>45805</v>
      </c>
      <c r="B599" s="2" t="s">
        <v>86</v>
      </c>
      <c r="C599" s="2" t="s">
        <v>87</v>
      </c>
      <c r="D599" s="2">
        <v>1</v>
      </c>
      <c r="E599" s="2">
        <v>1107</v>
      </c>
      <c r="F599" s="2">
        <v>238</v>
      </c>
      <c r="G599" s="2">
        <v>326431</v>
      </c>
      <c r="H599" s="2">
        <v>6</v>
      </c>
      <c r="I599" s="2" t="s">
        <v>81</v>
      </c>
      <c r="J599" s="3">
        <v>0.214995483288166</v>
      </c>
      <c r="K599" s="21">
        <v>1371.55882352941</v>
      </c>
      <c r="L599" s="21">
        <v>54405.1666666667</v>
      </c>
      <c r="M599" s="21">
        <v>184.5</v>
      </c>
      <c r="N599" s="2" t="s">
        <v>79</v>
      </c>
    </row>
    <row r="600" s="2" customFormat="1" spans="1:14">
      <c r="A600" s="20">
        <v>45806</v>
      </c>
      <c r="B600" s="2" t="s">
        <v>86</v>
      </c>
      <c r="C600" s="2" t="s">
        <v>87</v>
      </c>
      <c r="D600" s="2">
        <v>1</v>
      </c>
      <c r="E600" s="2">
        <v>1035</v>
      </c>
      <c r="F600" s="2">
        <v>182</v>
      </c>
      <c r="G600" s="2">
        <v>206784</v>
      </c>
      <c r="H600" s="2">
        <v>5</v>
      </c>
      <c r="I600" s="2" t="s">
        <v>78</v>
      </c>
      <c r="J600" s="3">
        <v>0.175845410628019</v>
      </c>
      <c r="K600" s="21">
        <v>1136.17582417582</v>
      </c>
      <c r="L600" s="21">
        <v>41356.8</v>
      </c>
      <c r="M600" s="21">
        <v>207</v>
      </c>
      <c r="N600" s="2" t="s">
        <v>79</v>
      </c>
    </row>
    <row r="601" s="2" customFormat="1" spans="1:14">
      <c r="A601" s="20">
        <v>45807</v>
      </c>
      <c r="B601" s="2" t="s">
        <v>86</v>
      </c>
      <c r="C601" s="2" t="s">
        <v>87</v>
      </c>
      <c r="D601" s="2">
        <v>1</v>
      </c>
      <c r="E601" s="2">
        <v>887</v>
      </c>
      <c r="F601" s="2">
        <v>184</v>
      </c>
      <c r="G601" s="2">
        <v>276478</v>
      </c>
      <c r="H601" s="2">
        <v>6</v>
      </c>
      <c r="I601" s="2" t="s">
        <v>78</v>
      </c>
      <c r="J601" s="3">
        <v>0.207440811724915</v>
      </c>
      <c r="K601" s="21">
        <v>1502.59782608696</v>
      </c>
      <c r="L601" s="21">
        <v>46079.6666666667</v>
      </c>
      <c r="M601" s="21">
        <v>147.833333333333</v>
      </c>
      <c r="N601" s="2" t="s">
        <v>79</v>
      </c>
    </row>
    <row r="602" s="2" customFormat="1" spans="1:14">
      <c r="A602" s="20">
        <v>45808</v>
      </c>
      <c r="B602" s="2" t="s">
        <v>86</v>
      </c>
      <c r="C602" s="2" t="s">
        <v>87</v>
      </c>
      <c r="D602" s="2">
        <v>1</v>
      </c>
      <c r="E602" s="2">
        <v>1221</v>
      </c>
      <c r="F602" s="2">
        <v>222</v>
      </c>
      <c r="G602" s="2">
        <v>293026</v>
      </c>
      <c r="H602" s="2">
        <v>5</v>
      </c>
      <c r="I602" s="2" t="s">
        <v>78</v>
      </c>
      <c r="J602" s="3">
        <v>0.181818181818182</v>
      </c>
      <c r="K602" s="21">
        <v>1319.93693693694</v>
      </c>
      <c r="L602" s="21">
        <v>58605.2</v>
      </c>
      <c r="M602" s="21">
        <v>244.2</v>
      </c>
      <c r="N602" s="2" t="s">
        <v>80</v>
      </c>
    </row>
    <row r="603" s="2" customFormat="1" spans="1:14">
      <c r="A603" s="20">
        <v>45809</v>
      </c>
      <c r="B603" s="2" t="s">
        <v>86</v>
      </c>
      <c r="C603" s="2" t="s">
        <v>87</v>
      </c>
      <c r="D603" s="2">
        <v>1</v>
      </c>
      <c r="E603" s="2">
        <v>1201</v>
      </c>
      <c r="F603" s="2">
        <v>258</v>
      </c>
      <c r="G603" s="2">
        <v>382256</v>
      </c>
      <c r="H603" s="2">
        <v>9</v>
      </c>
      <c r="I603" s="2" t="s">
        <v>81</v>
      </c>
      <c r="J603" s="3">
        <v>0.214820982514571</v>
      </c>
      <c r="K603" s="21">
        <v>1481.61240310078</v>
      </c>
      <c r="L603" s="21">
        <v>42472.8888888889</v>
      </c>
      <c r="M603" s="21">
        <v>133.444444444445</v>
      </c>
      <c r="N603" s="2" t="s">
        <v>80</v>
      </c>
    </row>
    <row r="604" s="2" customFormat="1" spans="1:14">
      <c r="A604" s="20">
        <v>45810</v>
      </c>
      <c r="B604" s="2" t="s">
        <v>86</v>
      </c>
      <c r="C604" s="2" t="s">
        <v>87</v>
      </c>
      <c r="D604" s="2">
        <v>1</v>
      </c>
      <c r="E604" s="2">
        <v>883</v>
      </c>
      <c r="F604" s="2">
        <v>176</v>
      </c>
      <c r="G604" s="2">
        <v>210924</v>
      </c>
      <c r="H604" s="2">
        <v>8</v>
      </c>
      <c r="I604" s="2" t="s">
        <v>78</v>
      </c>
      <c r="J604" s="3">
        <v>0.199320498301246</v>
      </c>
      <c r="K604" s="21">
        <v>1198.43181818182</v>
      </c>
      <c r="L604" s="21">
        <v>26365.5</v>
      </c>
      <c r="M604" s="21">
        <v>110.375</v>
      </c>
      <c r="N604" s="2" t="s">
        <v>79</v>
      </c>
    </row>
    <row r="605" s="2" customFormat="1" spans="1:14">
      <c r="A605" s="20">
        <v>45811</v>
      </c>
      <c r="B605" s="2" t="s">
        <v>86</v>
      </c>
      <c r="C605" s="2" t="s">
        <v>87</v>
      </c>
      <c r="D605" s="2">
        <v>1</v>
      </c>
      <c r="E605" s="2">
        <v>747</v>
      </c>
      <c r="F605" s="2">
        <v>141</v>
      </c>
      <c r="G605" s="2">
        <v>177439</v>
      </c>
      <c r="H605" s="2">
        <v>5</v>
      </c>
      <c r="I605" s="2" t="s">
        <v>78</v>
      </c>
      <c r="J605" s="3">
        <v>0.188755020080321</v>
      </c>
      <c r="K605" s="21">
        <v>1258.43262411347</v>
      </c>
      <c r="L605" s="21">
        <v>35487.8</v>
      </c>
      <c r="M605" s="21">
        <v>149.4</v>
      </c>
      <c r="N605" s="2" t="s">
        <v>79</v>
      </c>
    </row>
    <row r="606" s="2" customFormat="1" spans="1:14">
      <c r="A606" s="20">
        <v>45812</v>
      </c>
      <c r="B606" s="2" t="s">
        <v>86</v>
      </c>
      <c r="C606" s="2" t="s">
        <v>87</v>
      </c>
      <c r="D606" s="2">
        <v>1</v>
      </c>
      <c r="E606" s="2">
        <v>929</v>
      </c>
      <c r="F606" s="2">
        <v>187</v>
      </c>
      <c r="G606" s="2">
        <v>270793</v>
      </c>
      <c r="H606" s="2">
        <v>4</v>
      </c>
      <c r="I606" s="2" t="s">
        <v>78</v>
      </c>
      <c r="J606" s="3">
        <v>0.201291711517761</v>
      </c>
      <c r="K606" s="21">
        <v>1448.09090909091</v>
      </c>
      <c r="L606" s="21">
        <v>67698.25</v>
      </c>
      <c r="M606" s="21">
        <v>232.25</v>
      </c>
      <c r="N606" s="2" t="s">
        <v>79</v>
      </c>
    </row>
    <row r="607" s="2" customFormat="1" spans="1:14">
      <c r="A607" s="20">
        <v>45813</v>
      </c>
      <c r="B607" s="2" t="s">
        <v>86</v>
      </c>
      <c r="C607" s="2" t="s">
        <v>87</v>
      </c>
      <c r="D607" s="2">
        <v>1</v>
      </c>
      <c r="E607" s="2">
        <v>940</v>
      </c>
      <c r="F607" s="2">
        <v>182</v>
      </c>
      <c r="G607" s="2">
        <v>284840</v>
      </c>
      <c r="H607" s="2">
        <v>5</v>
      </c>
      <c r="I607" s="2" t="s">
        <v>78</v>
      </c>
      <c r="J607" s="3">
        <v>0.193617021276596</v>
      </c>
      <c r="K607" s="21">
        <v>1565.05494505494</v>
      </c>
      <c r="L607" s="21">
        <v>56968</v>
      </c>
      <c r="M607" s="21">
        <v>188</v>
      </c>
      <c r="N607" s="2" t="s">
        <v>79</v>
      </c>
    </row>
    <row r="608" s="2" customFormat="1" spans="1:14">
      <c r="A608" s="20">
        <v>45814</v>
      </c>
      <c r="B608" s="2" t="s">
        <v>86</v>
      </c>
      <c r="C608" s="2" t="s">
        <v>87</v>
      </c>
      <c r="D608" s="2">
        <v>1</v>
      </c>
      <c r="E608" s="2">
        <v>690</v>
      </c>
      <c r="F608" s="2">
        <v>146</v>
      </c>
      <c r="G608" s="2">
        <v>228662</v>
      </c>
      <c r="H608" s="2">
        <v>8</v>
      </c>
      <c r="I608" s="2" t="s">
        <v>81</v>
      </c>
      <c r="J608" s="3">
        <v>0.211594202898551</v>
      </c>
      <c r="K608" s="21">
        <v>1566.17808219178</v>
      </c>
      <c r="L608" s="21">
        <v>28582.75</v>
      </c>
      <c r="M608" s="21">
        <v>86.25</v>
      </c>
      <c r="N608" s="2" t="s">
        <v>79</v>
      </c>
    </row>
    <row r="609" s="2" customFormat="1" spans="1:14">
      <c r="A609" s="20">
        <v>45815</v>
      </c>
      <c r="B609" s="2" t="s">
        <v>86</v>
      </c>
      <c r="C609" s="2" t="s">
        <v>87</v>
      </c>
      <c r="D609" s="2">
        <v>1</v>
      </c>
      <c r="E609" s="2">
        <v>1067</v>
      </c>
      <c r="F609" s="2">
        <v>208</v>
      </c>
      <c r="G609" s="2">
        <v>232843</v>
      </c>
      <c r="H609" s="2">
        <v>8</v>
      </c>
      <c r="I609" s="2" t="s">
        <v>78</v>
      </c>
      <c r="J609" s="3">
        <v>0.19493908153702</v>
      </c>
      <c r="K609" s="21">
        <v>1119.4375</v>
      </c>
      <c r="L609" s="21">
        <v>29105.375</v>
      </c>
      <c r="M609" s="21">
        <v>133.375</v>
      </c>
      <c r="N609" s="2" t="s">
        <v>80</v>
      </c>
    </row>
    <row r="610" s="2" customFormat="1" spans="1:14">
      <c r="A610" s="20">
        <v>45816</v>
      </c>
      <c r="B610" s="2" t="s">
        <v>86</v>
      </c>
      <c r="C610" s="2" t="s">
        <v>87</v>
      </c>
      <c r="D610" s="2">
        <v>1</v>
      </c>
      <c r="E610" s="2">
        <v>1110</v>
      </c>
      <c r="F610" s="2">
        <v>220</v>
      </c>
      <c r="G610" s="2">
        <v>267781</v>
      </c>
      <c r="H610" s="2">
        <v>5</v>
      </c>
      <c r="I610" s="2" t="s">
        <v>78</v>
      </c>
      <c r="J610" s="3">
        <v>0.198198198198198</v>
      </c>
      <c r="K610" s="21">
        <v>1217.18636363636</v>
      </c>
      <c r="L610" s="21">
        <v>53556.2</v>
      </c>
      <c r="M610" s="21">
        <v>222</v>
      </c>
      <c r="N610" s="2" t="s">
        <v>80</v>
      </c>
    </row>
    <row r="611" s="2" customFormat="1" spans="1:14">
      <c r="A611" s="20">
        <v>45817</v>
      </c>
      <c r="B611" s="2" t="s">
        <v>86</v>
      </c>
      <c r="C611" s="2" t="s">
        <v>87</v>
      </c>
      <c r="D611" s="2">
        <v>1</v>
      </c>
      <c r="E611" s="2">
        <v>919</v>
      </c>
      <c r="F611" s="2">
        <v>203</v>
      </c>
      <c r="G611" s="2">
        <v>229688</v>
      </c>
      <c r="H611" s="2">
        <v>9</v>
      </c>
      <c r="I611" s="2" t="s">
        <v>78</v>
      </c>
      <c r="J611" s="3">
        <v>0.220892274211099</v>
      </c>
      <c r="K611" s="21">
        <v>1131.46798029557</v>
      </c>
      <c r="L611" s="21">
        <v>25520.8888888889</v>
      </c>
      <c r="M611" s="21">
        <v>102.111111111111</v>
      </c>
      <c r="N611" s="2" t="s">
        <v>79</v>
      </c>
    </row>
    <row r="612" s="2" customFormat="1" spans="1:14">
      <c r="A612" s="20">
        <v>45818</v>
      </c>
      <c r="B612" s="2" t="s">
        <v>86</v>
      </c>
      <c r="C612" s="2" t="s">
        <v>87</v>
      </c>
      <c r="D612" s="2">
        <v>1</v>
      </c>
      <c r="E612" s="2">
        <v>954</v>
      </c>
      <c r="F612" s="2">
        <v>217</v>
      </c>
      <c r="G612" s="2">
        <v>331049</v>
      </c>
      <c r="H612" s="2">
        <v>9</v>
      </c>
      <c r="I612" s="2" t="s">
        <v>78</v>
      </c>
      <c r="J612" s="3">
        <v>0.227463312368973</v>
      </c>
      <c r="K612" s="21">
        <v>1525.57142857143</v>
      </c>
      <c r="L612" s="21">
        <v>36783.2222222222</v>
      </c>
      <c r="M612" s="21">
        <v>106</v>
      </c>
      <c r="N612" s="2" t="s">
        <v>79</v>
      </c>
    </row>
    <row r="613" s="2" customFormat="1" spans="1:14">
      <c r="A613" s="20">
        <v>45819</v>
      </c>
      <c r="B613" s="2" t="s">
        <v>86</v>
      </c>
      <c r="C613" s="2" t="s">
        <v>87</v>
      </c>
      <c r="D613" s="2">
        <v>1</v>
      </c>
      <c r="E613" s="2">
        <v>688</v>
      </c>
      <c r="F613" s="2">
        <v>131</v>
      </c>
      <c r="G613" s="2">
        <v>156694</v>
      </c>
      <c r="H613" s="2">
        <v>6</v>
      </c>
      <c r="I613" s="2" t="s">
        <v>78</v>
      </c>
      <c r="J613" s="3">
        <v>0.190406976744186</v>
      </c>
      <c r="K613" s="21">
        <v>1196.13740458015</v>
      </c>
      <c r="L613" s="21">
        <v>26115.6666666667</v>
      </c>
      <c r="M613" s="21">
        <v>114.666666666667</v>
      </c>
      <c r="N613" s="2" t="s">
        <v>79</v>
      </c>
    </row>
    <row r="614" s="2" customFormat="1" spans="1:14">
      <c r="A614" s="20">
        <v>45820</v>
      </c>
      <c r="B614" s="2" t="s">
        <v>86</v>
      </c>
      <c r="C614" s="2" t="s">
        <v>87</v>
      </c>
      <c r="D614" s="2">
        <v>1</v>
      </c>
      <c r="E614" s="2">
        <v>732</v>
      </c>
      <c r="F614" s="2">
        <v>139</v>
      </c>
      <c r="G614" s="2">
        <v>176124</v>
      </c>
      <c r="H614" s="2">
        <v>7</v>
      </c>
      <c r="I614" s="2" t="s">
        <v>78</v>
      </c>
      <c r="J614" s="3">
        <v>0.189890710382514</v>
      </c>
      <c r="K614" s="21">
        <v>1267.07913669065</v>
      </c>
      <c r="L614" s="21">
        <v>25160.5714285714</v>
      </c>
      <c r="M614" s="21">
        <v>104.571428571429</v>
      </c>
      <c r="N614" s="2" t="s">
        <v>79</v>
      </c>
    </row>
    <row r="615" s="2" customFormat="1" spans="1:14">
      <c r="A615" s="20">
        <v>45821</v>
      </c>
      <c r="B615" s="2" t="s">
        <v>86</v>
      </c>
      <c r="C615" s="2" t="s">
        <v>87</v>
      </c>
      <c r="D615" s="2">
        <v>1</v>
      </c>
      <c r="E615" s="2">
        <v>726</v>
      </c>
      <c r="F615" s="2">
        <v>143</v>
      </c>
      <c r="G615" s="2">
        <v>174159</v>
      </c>
      <c r="H615" s="2">
        <v>5</v>
      </c>
      <c r="I615" s="2" t="s">
        <v>78</v>
      </c>
      <c r="J615" s="3">
        <v>0.196969696969697</v>
      </c>
      <c r="K615" s="21">
        <v>1217.89510489511</v>
      </c>
      <c r="L615" s="21">
        <v>34831.8</v>
      </c>
      <c r="M615" s="21">
        <v>145.2</v>
      </c>
      <c r="N615" s="2" t="s">
        <v>79</v>
      </c>
    </row>
    <row r="616" s="2" customFormat="1" spans="1:14">
      <c r="A616" s="20">
        <v>45822</v>
      </c>
      <c r="B616" s="2" t="s">
        <v>86</v>
      </c>
      <c r="C616" s="2" t="s">
        <v>87</v>
      </c>
      <c r="D616" s="2">
        <v>1</v>
      </c>
      <c r="E616" s="2">
        <v>1226</v>
      </c>
      <c r="F616" s="2">
        <v>241</v>
      </c>
      <c r="G616" s="2">
        <v>367303</v>
      </c>
      <c r="H616" s="2">
        <v>4</v>
      </c>
      <c r="I616" s="2" t="s">
        <v>81</v>
      </c>
      <c r="J616" s="3">
        <v>0.196574225122349</v>
      </c>
      <c r="K616" s="21">
        <v>1524.07883817427</v>
      </c>
      <c r="L616" s="21">
        <v>91825.75</v>
      </c>
      <c r="M616" s="21">
        <v>306.5</v>
      </c>
      <c r="N616" s="2" t="s">
        <v>80</v>
      </c>
    </row>
    <row r="617" s="2" customFormat="1" spans="1:14">
      <c r="A617" s="20">
        <v>45823</v>
      </c>
      <c r="B617" s="2" t="s">
        <v>86</v>
      </c>
      <c r="C617" s="2" t="s">
        <v>87</v>
      </c>
      <c r="D617" s="2">
        <v>1</v>
      </c>
      <c r="E617" s="2">
        <v>1483</v>
      </c>
      <c r="F617" s="2">
        <v>325</v>
      </c>
      <c r="G617" s="2">
        <v>461074</v>
      </c>
      <c r="H617" s="2">
        <v>8</v>
      </c>
      <c r="I617" s="2" t="s">
        <v>78</v>
      </c>
      <c r="J617" s="3">
        <v>0.219150370869858</v>
      </c>
      <c r="K617" s="21">
        <v>1418.68923076923</v>
      </c>
      <c r="L617" s="21">
        <v>57634.25</v>
      </c>
      <c r="M617" s="21">
        <v>185.375</v>
      </c>
      <c r="N617" s="2" t="s">
        <v>80</v>
      </c>
    </row>
    <row r="618" s="2" customFormat="1" spans="1:14">
      <c r="A618" s="20">
        <v>45824</v>
      </c>
      <c r="B618" s="2" t="s">
        <v>86</v>
      </c>
      <c r="C618" s="2" t="s">
        <v>87</v>
      </c>
      <c r="D618" s="2">
        <v>1</v>
      </c>
      <c r="E618" s="2">
        <v>938</v>
      </c>
      <c r="F618" s="2">
        <v>174</v>
      </c>
      <c r="G618" s="2">
        <v>224867</v>
      </c>
      <c r="H618" s="2">
        <v>6</v>
      </c>
      <c r="I618" s="2" t="s">
        <v>78</v>
      </c>
      <c r="J618" s="3">
        <v>0.185501066098081</v>
      </c>
      <c r="K618" s="21">
        <v>1292.33908045977</v>
      </c>
      <c r="L618" s="21">
        <v>37477.8333333333</v>
      </c>
      <c r="M618" s="21">
        <v>156.333333333333</v>
      </c>
      <c r="N618" s="2" t="s">
        <v>79</v>
      </c>
    </row>
    <row r="619" s="2" customFormat="1" spans="1:14">
      <c r="A619" s="20">
        <v>45825</v>
      </c>
      <c r="B619" s="2" t="s">
        <v>86</v>
      </c>
      <c r="C619" s="2" t="s">
        <v>87</v>
      </c>
      <c r="D619" s="2">
        <v>1</v>
      </c>
      <c r="E619" s="2">
        <v>862</v>
      </c>
      <c r="F619" s="2">
        <v>168</v>
      </c>
      <c r="G619" s="2">
        <v>243079</v>
      </c>
      <c r="H619" s="2">
        <v>4</v>
      </c>
      <c r="I619" s="2" t="s">
        <v>78</v>
      </c>
      <c r="J619" s="3">
        <v>0.194895591647332</v>
      </c>
      <c r="K619" s="21">
        <v>1446.89880952381</v>
      </c>
      <c r="L619" s="21">
        <v>60769.75</v>
      </c>
      <c r="M619" s="21">
        <v>215.5</v>
      </c>
      <c r="N619" s="2" t="s">
        <v>79</v>
      </c>
    </row>
    <row r="620" s="2" customFormat="1" spans="1:14">
      <c r="A620" s="20">
        <v>45826</v>
      </c>
      <c r="B620" s="2" t="s">
        <v>86</v>
      </c>
      <c r="C620" s="2" t="s">
        <v>87</v>
      </c>
      <c r="D620" s="2">
        <v>1</v>
      </c>
      <c r="E620" s="2">
        <v>893</v>
      </c>
      <c r="F620" s="2">
        <v>171</v>
      </c>
      <c r="G620" s="2">
        <v>242868</v>
      </c>
      <c r="H620" s="2">
        <v>5</v>
      </c>
      <c r="I620" s="2" t="s">
        <v>78</v>
      </c>
      <c r="J620" s="3">
        <v>0.191489361702128</v>
      </c>
      <c r="K620" s="21">
        <v>1420.28070175439</v>
      </c>
      <c r="L620" s="21">
        <v>48573.6</v>
      </c>
      <c r="M620" s="21">
        <v>178.6</v>
      </c>
      <c r="N620" s="2" t="s">
        <v>79</v>
      </c>
    </row>
    <row r="621" s="2" customFormat="1" spans="1:14">
      <c r="A621" s="20">
        <v>45827</v>
      </c>
      <c r="B621" s="2" t="s">
        <v>86</v>
      </c>
      <c r="C621" s="2" t="s">
        <v>87</v>
      </c>
      <c r="D621" s="2">
        <v>1</v>
      </c>
      <c r="E621" s="2">
        <v>934</v>
      </c>
      <c r="F621" s="2">
        <v>175</v>
      </c>
      <c r="G621" s="2">
        <v>192965</v>
      </c>
      <c r="H621" s="2">
        <v>8</v>
      </c>
      <c r="I621" s="2" t="s">
        <v>81</v>
      </c>
      <c r="J621" s="3">
        <v>0.187366167023555</v>
      </c>
      <c r="K621" s="21">
        <v>1102.65714285714</v>
      </c>
      <c r="L621" s="21">
        <v>24120.625</v>
      </c>
      <c r="M621" s="21">
        <v>116.75</v>
      </c>
      <c r="N621" s="2" t="s">
        <v>79</v>
      </c>
    </row>
    <row r="622" s="2" customFormat="1" spans="1:14">
      <c r="A622" s="20">
        <v>45828</v>
      </c>
      <c r="B622" s="2" t="s">
        <v>86</v>
      </c>
      <c r="C622" s="2" t="s">
        <v>87</v>
      </c>
      <c r="D622" s="2">
        <v>1</v>
      </c>
      <c r="E622" s="2">
        <v>647</v>
      </c>
      <c r="F622" s="2">
        <v>144</v>
      </c>
      <c r="G622" s="2">
        <v>217225</v>
      </c>
      <c r="H622" s="2">
        <v>9</v>
      </c>
      <c r="I622" s="2" t="s">
        <v>78</v>
      </c>
      <c r="J622" s="3">
        <v>0.222565687789799</v>
      </c>
      <c r="K622" s="21">
        <v>1508.50694444444</v>
      </c>
      <c r="L622" s="21">
        <v>24136.1111111111</v>
      </c>
      <c r="M622" s="21">
        <v>71.8888888888889</v>
      </c>
      <c r="N622" s="2" t="s">
        <v>79</v>
      </c>
    </row>
    <row r="623" s="2" customFormat="1" spans="1:14">
      <c r="A623" s="20">
        <v>45829</v>
      </c>
      <c r="B623" s="2" t="s">
        <v>86</v>
      </c>
      <c r="C623" s="2" t="s">
        <v>87</v>
      </c>
      <c r="D623" s="2">
        <v>1</v>
      </c>
      <c r="E623" s="2">
        <v>1065</v>
      </c>
      <c r="F623" s="2">
        <v>205</v>
      </c>
      <c r="G623" s="2">
        <v>294295</v>
      </c>
      <c r="H623" s="2">
        <v>5</v>
      </c>
      <c r="I623" s="2" t="s">
        <v>81</v>
      </c>
      <c r="J623" s="3">
        <v>0.192488262910798</v>
      </c>
      <c r="K623" s="21">
        <v>1435.58536585366</v>
      </c>
      <c r="L623" s="21">
        <v>58859</v>
      </c>
      <c r="M623" s="21">
        <v>213</v>
      </c>
      <c r="N623" s="2" t="s">
        <v>80</v>
      </c>
    </row>
    <row r="624" s="2" customFormat="1" spans="1:14">
      <c r="A624" s="20">
        <v>45830</v>
      </c>
      <c r="B624" s="2" t="s">
        <v>86</v>
      </c>
      <c r="C624" s="2" t="s">
        <v>87</v>
      </c>
      <c r="D624" s="2">
        <v>1</v>
      </c>
      <c r="E624" s="2">
        <v>1092</v>
      </c>
      <c r="F624" s="2">
        <v>212</v>
      </c>
      <c r="G624" s="2">
        <v>295703</v>
      </c>
      <c r="H624" s="2">
        <v>9</v>
      </c>
      <c r="I624" s="2" t="s">
        <v>81</v>
      </c>
      <c r="J624" s="3">
        <v>0.194139194139194</v>
      </c>
      <c r="K624" s="21">
        <v>1394.82547169811</v>
      </c>
      <c r="L624" s="21">
        <v>32855.8888888889</v>
      </c>
      <c r="M624" s="21">
        <v>121.333333333333</v>
      </c>
      <c r="N624" s="2" t="s">
        <v>80</v>
      </c>
    </row>
    <row r="625" s="2" customFormat="1" spans="1:14">
      <c r="A625" s="20">
        <v>45831</v>
      </c>
      <c r="B625" s="2" t="s">
        <v>86</v>
      </c>
      <c r="C625" s="2" t="s">
        <v>87</v>
      </c>
      <c r="D625" s="2">
        <v>1</v>
      </c>
      <c r="E625" s="2">
        <v>899</v>
      </c>
      <c r="F625" s="2">
        <v>179</v>
      </c>
      <c r="G625" s="2">
        <v>285998</v>
      </c>
      <c r="H625" s="2">
        <v>8</v>
      </c>
      <c r="I625" s="2" t="s">
        <v>78</v>
      </c>
      <c r="J625" s="3">
        <v>0.199110122358176</v>
      </c>
      <c r="K625" s="21">
        <v>1597.75418994413</v>
      </c>
      <c r="L625" s="21">
        <v>35749.75</v>
      </c>
      <c r="M625" s="21">
        <v>112.375</v>
      </c>
      <c r="N625" s="2" t="s">
        <v>79</v>
      </c>
    </row>
    <row r="626" s="2" customFormat="1" spans="1:14">
      <c r="A626" s="20">
        <v>45832</v>
      </c>
      <c r="B626" s="2" t="s">
        <v>86</v>
      </c>
      <c r="C626" s="2" t="s">
        <v>87</v>
      </c>
      <c r="D626" s="2">
        <v>1</v>
      </c>
      <c r="E626" s="2">
        <v>902</v>
      </c>
      <c r="F626" s="2">
        <v>176</v>
      </c>
      <c r="G626" s="2">
        <v>224664</v>
      </c>
      <c r="H626" s="2">
        <v>8</v>
      </c>
      <c r="I626" s="2" t="s">
        <v>78</v>
      </c>
      <c r="J626" s="3">
        <v>0.195121951219512</v>
      </c>
      <c r="K626" s="21">
        <v>1276.5</v>
      </c>
      <c r="L626" s="21">
        <v>28083</v>
      </c>
      <c r="M626" s="21">
        <v>112.75</v>
      </c>
      <c r="N626" s="2" t="s">
        <v>79</v>
      </c>
    </row>
    <row r="627" s="2" customFormat="1" spans="1:14">
      <c r="A627" s="20">
        <v>45833</v>
      </c>
      <c r="B627" s="2" t="s">
        <v>86</v>
      </c>
      <c r="C627" s="2" t="s">
        <v>87</v>
      </c>
      <c r="D627" s="2">
        <v>1</v>
      </c>
      <c r="E627" s="2">
        <v>923</v>
      </c>
      <c r="F627" s="2">
        <v>181</v>
      </c>
      <c r="G627" s="2">
        <v>249961</v>
      </c>
      <c r="H627" s="2">
        <v>4</v>
      </c>
      <c r="I627" s="2" t="s">
        <v>78</v>
      </c>
      <c r="J627" s="3">
        <v>0.196099674972914</v>
      </c>
      <c r="K627" s="21">
        <v>1381</v>
      </c>
      <c r="L627" s="21">
        <v>62490.25</v>
      </c>
      <c r="M627" s="21">
        <v>230.75</v>
      </c>
      <c r="N627" s="2" t="s">
        <v>79</v>
      </c>
    </row>
    <row r="628" s="2" customFormat="1" spans="1:14">
      <c r="A628" s="20">
        <v>45834</v>
      </c>
      <c r="B628" s="2" t="s">
        <v>86</v>
      </c>
      <c r="C628" s="2" t="s">
        <v>87</v>
      </c>
      <c r="D628" s="2">
        <v>1</v>
      </c>
      <c r="E628" s="2">
        <v>862</v>
      </c>
      <c r="F628" s="2">
        <v>167</v>
      </c>
      <c r="G628" s="2">
        <v>282415</v>
      </c>
      <c r="H628" s="2">
        <v>5</v>
      </c>
      <c r="I628" s="2" t="s">
        <v>78</v>
      </c>
      <c r="J628" s="3">
        <v>0.193735498839907</v>
      </c>
      <c r="K628" s="21">
        <v>1691.10778443114</v>
      </c>
      <c r="L628" s="21">
        <v>56483</v>
      </c>
      <c r="M628" s="21">
        <v>172.4</v>
      </c>
      <c r="N628" s="2" t="s">
        <v>79</v>
      </c>
    </row>
    <row r="629" s="2" customFormat="1" spans="1:14">
      <c r="A629" s="20">
        <v>45835</v>
      </c>
      <c r="B629" s="2" t="s">
        <v>86</v>
      </c>
      <c r="C629" s="2" t="s">
        <v>87</v>
      </c>
      <c r="D629" s="2">
        <v>1</v>
      </c>
      <c r="E629" s="2">
        <v>953</v>
      </c>
      <c r="F629" s="2">
        <v>195</v>
      </c>
      <c r="G629" s="2">
        <v>229614</v>
      </c>
      <c r="H629" s="2">
        <v>4</v>
      </c>
      <c r="I629" s="2" t="s">
        <v>78</v>
      </c>
      <c r="J629" s="3">
        <v>0.204616998950682</v>
      </c>
      <c r="K629" s="21">
        <v>1177.50769230769</v>
      </c>
      <c r="L629" s="21">
        <v>57403.5</v>
      </c>
      <c r="M629" s="21">
        <v>238.25</v>
      </c>
      <c r="N629" s="2" t="s">
        <v>79</v>
      </c>
    </row>
    <row r="630" s="2" customFormat="1" spans="1:14">
      <c r="A630" s="20">
        <v>45836</v>
      </c>
      <c r="B630" s="2" t="s">
        <v>86</v>
      </c>
      <c r="C630" s="2" t="s">
        <v>87</v>
      </c>
      <c r="D630" s="2">
        <v>1</v>
      </c>
      <c r="E630" s="2">
        <v>1299</v>
      </c>
      <c r="F630" s="2">
        <v>276</v>
      </c>
      <c r="G630" s="2">
        <v>464563</v>
      </c>
      <c r="H630" s="2">
        <v>7</v>
      </c>
      <c r="I630" s="2" t="s">
        <v>78</v>
      </c>
      <c r="J630" s="3">
        <v>0.212471131639723</v>
      </c>
      <c r="K630" s="21">
        <v>1683.19927536232</v>
      </c>
      <c r="L630" s="21">
        <v>66366.1428571429</v>
      </c>
      <c r="M630" s="21">
        <v>185.571428571429</v>
      </c>
      <c r="N630" s="2" t="s">
        <v>80</v>
      </c>
    </row>
    <row r="631" s="2" customFormat="1" spans="1:14">
      <c r="A631" s="20">
        <v>45837</v>
      </c>
      <c r="B631" s="2" t="s">
        <v>86</v>
      </c>
      <c r="C631" s="2" t="s">
        <v>87</v>
      </c>
      <c r="D631" s="2">
        <v>1</v>
      </c>
      <c r="E631" s="2">
        <v>1269</v>
      </c>
      <c r="F631" s="2">
        <v>270</v>
      </c>
      <c r="G631" s="2">
        <v>400794</v>
      </c>
      <c r="H631" s="2">
        <v>7</v>
      </c>
      <c r="I631" s="2" t="s">
        <v>78</v>
      </c>
      <c r="J631" s="3">
        <v>0.212765957446809</v>
      </c>
      <c r="K631" s="21">
        <v>1484.42222222222</v>
      </c>
      <c r="L631" s="21">
        <v>57256.2857142857</v>
      </c>
      <c r="M631" s="21">
        <v>181.285714285714</v>
      </c>
      <c r="N631" s="2" t="s">
        <v>80</v>
      </c>
    </row>
    <row r="632" s="2" customFormat="1" spans="1:14">
      <c r="A632" s="20">
        <v>45838</v>
      </c>
      <c r="B632" s="2" t="s">
        <v>86</v>
      </c>
      <c r="C632" s="2" t="s">
        <v>87</v>
      </c>
      <c r="D632" s="2">
        <v>1</v>
      </c>
      <c r="E632" s="2">
        <v>668</v>
      </c>
      <c r="F632" s="2">
        <v>129</v>
      </c>
      <c r="G632" s="2">
        <v>167613</v>
      </c>
      <c r="H632" s="2">
        <v>4</v>
      </c>
      <c r="I632" s="2" t="s">
        <v>78</v>
      </c>
      <c r="J632" s="3">
        <v>0.19311377245509</v>
      </c>
      <c r="K632" s="21">
        <v>1299.32558139535</v>
      </c>
      <c r="L632" s="21">
        <v>41903.25</v>
      </c>
      <c r="M632" s="21">
        <v>167</v>
      </c>
      <c r="N632" s="2" t="s">
        <v>79</v>
      </c>
    </row>
    <row r="633" s="2" customFormat="1" spans="1:14">
      <c r="A633" s="20">
        <v>45839</v>
      </c>
      <c r="B633" s="2" t="s">
        <v>86</v>
      </c>
      <c r="C633" s="2" t="s">
        <v>87</v>
      </c>
      <c r="D633" s="2">
        <v>1</v>
      </c>
      <c r="E633" s="2">
        <v>932</v>
      </c>
      <c r="F633" s="2">
        <v>192</v>
      </c>
      <c r="G633" s="2">
        <v>251896</v>
      </c>
      <c r="H633" s="2">
        <v>8</v>
      </c>
      <c r="I633" s="2" t="s">
        <v>78</v>
      </c>
      <c r="J633" s="3">
        <v>0.206008583690987</v>
      </c>
      <c r="K633" s="21">
        <v>1311.95833333333</v>
      </c>
      <c r="L633" s="21">
        <v>31487</v>
      </c>
      <c r="M633" s="21">
        <v>116.5</v>
      </c>
      <c r="N633" s="2" t="s">
        <v>79</v>
      </c>
    </row>
    <row r="634" s="2" customFormat="1" spans="1:14">
      <c r="A634" s="20">
        <v>45840</v>
      </c>
      <c r="B634" s="2" t="s">
        <v>86</v>
      </c>
      <c r="C634" s="2" t="s">
        <v>87</v>
      </c>
      <c r="D634" s="2">
        <v>1</v>
      </c>
      <c r="E634" s="2">
        <v>530</v>
      </c>
      <c r="F634" s="2">
        <v>97</v>
      </c>
      <c r="G634" s="2">
        <v>112021</v>
      </c>
      <c r="H634" s="2">
        <v>5</v>
      </c>
      <c r="I634" s="2" t="s">
        <v>78</v>
      </c>
      <c r="J634" s="3">
        <v>0.183018867924528</v>
      </c>
      <c r="K634" s="21">
        <v>1154.85567010309</v>
      </c>
      <c r="L634" s="21">
        <v>22404.2</v>
      </c>
      <c r="M634" s="21">
        <v>106</v>
      </c>
      <c r="N634" s="2" t="s">
        <v>79</v>
      </c>
    </row>
    <row r="635" s="2" customFormat="1" spans="1:14">
      <c r="A635" s="20">
        <v>45841</v>
      </c>
      <c r="B635" s="2" t="s">
        <v>86</v>
      </c>
      <c r="C635" s="2" t="s">
        <v>87</v>
      </c>
      <c r="D635" s="2">
        <v>1</v>
      </c>
      <c r="E635" s="2">
        <v>858</v>
      </c>
      <c r="F635" s="2">
        <v>161</v>
      </c>
      <c r="G635" s="2">
        <v>215148</v>
      </c>
      <c r="H635" s="2">
        <v>5</v>
      </c>
      <c r="I635" s="2" t="s">
        <v>78</v>
      </c>
      <c r="J635" s="3">
        <v>0.187645687645688</v>
      </c>
      <c r="K635" s="21">
        <v>1336.32298136646</v>
      </c>
      <c r="L635" s="21">
        <v>43029.6</v>
      </c>
      <c r="M635" s="21">
        <v>171.6</v>
      </c>
      <c r="N635" s="2" t="s">
        <v>79</v>
      </c>
    </row>
    <row r="636" s="2" customFormat="1" spans="1:14">
      <c r="A636" s="20">
        <v>45842</v>
      </c>
      <c r="B636" s="2" t="s">
        <v>86</v>
      </c>
      <c r="C636" s="2" t="s">
        <v>87</v>
      </c>
      <c r="D636" s="2">
        <v>1</v>
      </c>
      <c r="E636" s="2">
        <v>947</v>
      </c>
      <c r="F636" s="2">
        <v>185</v>
      </c>
      <c r="G636" s="2">
        <v>302973</v>
      </c>
      <c r="H636" s="2">
        <v>4</v>
      </c>
      <c r="I636" s="2" t="s">
        <v>78</v>
      </c>
      <c r="J636" s="3">
        <v>0.195353748680042</v>
      </c>
      <c r="K636" s="21">
        <v>1637.69189189189</v>
      </c>
      <c r="L636" s="21">
        <v>75743.25</v>
      </c>
      <c r="M636" s="21">
        <v>236.75</v>
      </c>
      <c r="N636" s="2" t="s">
        <v>79</v>
      </c>
    </row>
    <row r="637" s="2" customFormat="1" spans="1:14">
      <c r="A637" s="20">
        <v>45843</v>
      </c>
      <c r="B637" s="2" t="s">
        <v>86</v>
      </c>
      <c r="C637" s="2" t="s">
        <v>87</v>
      </c>
      <c r="D637" s="2">
        <v>1</v>
      </c>
      <c r="E637" s="2">
        <v>1045</v>
      </c>
      <c r="F637" s="2">
        <v>192</v>
      </c>
      <c r="G637" s="2">
        <v>295074</v>
      </c>
      <c r="H637" s="2">
        <v>6</v>
      </c>
      <c r="I637" s="2" t="s">
        <v>78</v>
      </c>
      <c r="J637" s="3">
        <v>0.183732057416268</v>
      </c>
      <c r="K637" s="21">
        <v>1536.84375</v>
      </c>
      <c r="L637" s="21">
        <v>49179</v>
      </c>
      <c r="M637" s="21">
        <v>174.166666666667</v>
      </c>
      <c r="N637" s="2" t="s">
        <v>80</v>
      </c>
    </row>
    <row r="638" s="2" customFormat="1" spans="1:14">
      <c r="A638" s="20">
        <v>45844</v>
      </c>
      <c r="B638" s="2" t="s">
        <v>86</v>
      </c>
      <c r="C638" s="2" t="s">
        <v>87</v>
      </c>
      <c r="D638" s="2">
        <v>1</v>
      </c>
      <c r="E638" s="2">
        <v>1080</v>
      </c>
      <c r="F638" s="2">
        <v>248</v>
      </c>
      <c r="G638" s="2">
        <v>350078</v>
      </c>
      <c r="H638" s="2">
        <v>9</v>
      </c>
      <c r="I638" s="2" t="s">
        <v>81</v>
      </c>
      <c r="J638" s="3">
        <v>0.22962962962963</v>
      </c>
      <c r="K638" s="21">
        <v>1411.60483870968</v>
      </c>
      <c r="L638" s="21">
        <v>38897.5555555555</v>
      </c>
      <c r="M638" s="21">
        <v>120</v>
      </c>
      <c r="N638" s="2" t="s">
        <v>80</v>
      </c>
    </row>
    <row r="639" s="2" customFormat="1" spans="1:14">
      <c r="A639" s="20">
        <v>45845</v>
      </c>
      <c r="B639" s="2" t="s">
        <v>86</v>
      </c>
      <c r="C639" s="2" t="s">
        <v>87</v>
      </c>
      <c r="D639" s="2">
        <v>1</v>
      </c>
      <c r="E639" s="2">
        <v>970</v>
      </c>
      <c r="F639" s="2">
        <v>208</v>
      </c>
      <c r="G639" s="2">
        <v>294906</v>
      </c>
      <c r="H639" s="2">
        <v>7</v>
      </c>
      <c r="I639" s="2" t="s">
        <v>78</v>
      </c>
      <c r="J639" s="3">
        <v>0.214432989690722</v>
      </c>
      <c r="K639" s="21">
        <v>1417.81730769231</v>
      </c>
      <c r="L639" s="21">
        <v>42129.4285714286</v>
      </c>
      <c r="M639" s="21">
        <v>138.571428571429</v>
      </c>
      <c r="N639" s="2" t="s">
        <v>79</v>
      </c>
    </row>
    <row r="640" s="2" customFormat="1" spans="1:14">
      <c r="A640" s="20">
        <v>45846</v>
      </c>
      <c r="B640" s="2" t="s">
        <v>86</v>
      </c>
      <c r="C640" s="2" t="s">
        <v>87</v>
      </c>
      <c r="D640" s="2">
        <v>1</v>
      </c>
      <c r="E640" s="2">
        <v>722</v>
      </c>
      <c r="F640" s="2">
        <v>142</v>
      </c>
      <c r="G640" s="2">
        <v>223712</v>
      </c>
      <c r="H640" s="2">
        <v>7</v>
      </c>
      <c r="I640" s="2" t="s">
        <v>81</v>
      </c>
      <c r="J640" s="3">
        <v>0.196675900277008</v>
      </c>
      <c r="K640" s="21">
        <v>1575.43661971831</v>
      </c>
      <c r="L640" s="21">
        <v>31958.8571428571</v>
      </c>
      <c r="M640" s="21">
        <v>103.142857142857</v>
      </c>
      <c r="N640" s="2" t="s">
        <v>79</v>
      </c>
    </row>
    <row r="641" s="2" customFormat="1" spans="1:14">
      <c r="A641" s="20">
        <v>45847</v>
      </c>
      <c r="B641" s="2" t="s">
        <v>86</v>
      </c>
      <c r="C641" s="2" t="s">
        <v>87</v>
      </c>
      <c r="D641" s="2">
        <v>1</v>
      </c>
      <c r="E641" s="2">
        <v>822</v>
      </c>
      <c r="F641" s="2">
        <v>145</v>
      </c>
      <c r="G641" s="2">
        <v>233568</v>
      </c>
      <c r="H641" s="2">
        <v>5</v>
      </c>
      <c r="I641" s="2" t="s">
        <v>78</v>
      </c>
      <c r="J641" s="3">
        <v>0.17639902676399</v>
      </c>
      <c r="K641" s="21">
        <v>1610.81379310345</v>
      </c>
      <c r="L641" s="21">
        <v>46713.6</v>
      </c>
      <c r="M641" s="21">
        <v>164.4</v>
      </c>
      <c r="N641" s="2" t="s">
        <v>79</v>
      </c>
    </row>
    <row r="642" s="2" customFormat="1" spans="1:14">
      <c r="A642" s="20">
        <v>45848</v>
      </c>
      <c r="B642" s="2" t="s">
        <v>86</v>
      </c>
      <c r="C642" s="2" t="s">
        <v>87</v>
      </c>
      <c r="D642" s="2">
        <v>1</v>
      </c>
      <c r="E642" s="2">
        <v>816</v>
      </c>
      <c r="F642" s="2">
        <v>157</v>
      </c>
      <c r="G642" s="2">
        <v>179407</v>
      </c>
      <c r="H642" s="2">
        <v>6</v>
      </c>
      <c r="I642" s="2" t="s">
        <v>78</v>
      </c>
      <c r="J642" s="3">
        <v>0.192401960784314</v>
      </c>
      <c r="K642" s="21">
        <v>1142.71974522293</v>
      </c>
      <c r="L642" s="21">
        <v>29901.1666666667</v>
      </c>
      <c r="M642" s="21">
        <v>136</v>
      </c>
      <c r="N642" s="2" t="s">
        <v>79</v>
      </c>
    </row>
    <row r="643" s="2" customFormat="1" spans="1:14">
      <c r="A643" s="20">
        <v>45849</v>
      </c>
      <c r="B643" s="2" t="s">
        <v>86</v>
      </c>
      <c r="C643" s="2" t="s">
        <v>87</v>
      </c>
      <c r="D643" s="2">
        <v>1</v>
      </c>
      <c r="E643" s="2">
        <v>826</v>
      </c>
      <c r="F643" s="2">
        <v>147</v>
      </c>
      <c r="G643" s="2">
        <v>190127</v>
      </c>
      <c r="H643" s="2">
        <v>5</v>
      </c>
      <c r="I643" s="2" t="s">
        <v>78</v>
      </c>
      <c r="J643" s="3">
        <v>0.177966101694915</v>
      </c>
      <c r="K643" s="21">
        <v>1293.38095238095</v>
      </c>
      <c r="L643" s="21">
        <v>38025.4</v>
      </c>
      <c r="M643" s="21">
        <v>165.2</v>
      </c>
      <c r="N643" s="2" t="s">
        <v>79</v>
      </c>
    </row>
    <row r="644" s="2" customFormat="1" spans="1:14">
      <c r="A644" s="20">
        <v>45850</v>
      </c>
      <c r="B644" s="2" t="s">
        <v>86</v>
      </c>
      <c r="C644" s="2" t="s">
        <v>87</v>
      </c>
      <c r="D644" s="2">
        <v>1</v>
      </c>
      <c r="E644" s="2">
        <v>1345</v>
      </c>
      <c r="F644" s="2">
        <v>254</v>
      </c>
      <c r="G644" s="2">
        <v>283841</v>
      </c>
      <c r="H644" s="2">
        <v>7</v>
      </c>
      <c r="I644" s="2" t="s">
        <v>78</v>
      </c>
      <c r="J644" s="3">
        <v>0.188847583643123</v>
      </c>
      <c r="K644" s="21">
        <v>1117.4842519685</v>
      </c>
      <c r="L644" s="21">
        <v>40548.7142857143</v>
      </c>
      <c r="M644" s="21">
        <v>192.142857142857</v>
      </c>
      <c r="N644" s="2" t="s">
        <v>80</v>
      </c>
    </row>
    <row r="645" s="2" customFormat="1" spans="1:14">
      <c r="A645" s="20">
        <v>45851</v>
      </c>
      <c r="B645" s="2" t="s">
        <v>86</v>
      </c>
      <c r="C645" s="2" t="s">
        <v>87</v>
      </c>
      <c r="D645" s="2">
        <v>1</v>
      </c>
      <c r="E645" s="2">
        <v>1350</v>
      </c>
      <c r="F645" s="2">
        <v>299</v>
      </c>
      <c r="G645" s="2">
        <v>378688</v>
      </c>
      <c r="H645" s="2">
        <v>9</v>
      </c>
      <c r="I645" s="2" t="s">
        <v>78</v>
      </c>
      <c r="J645" s="3">
        <v>0.221481481481482</v>
      </c>
      <c r="K645" s="21">
        <v>1266.51505016722</v>
      </c>
      <c r="L645" s="21">
        <v>42076.4444444445</v>
      </c>
      <c r="M645" s="21">
        <v>150</v>
      </c>
      <c r="N645" s="2" t="s">
        <v>80</v>
      </c>
    </row>
    <row r="646" s="2" customFormat="1" spans="1:14">
      <c r="A646" s="20">
        <v>45852</v>
      </c>
      <c r="B646" s="2" t="s">
        <v>86</v>
      </c>
      <c r="C646" s="2" t="s">
        <v>87</v>
      </c>
      <c r="D646" s="2">
        <v>1</v>
      </c>
      <c r="E646" s="2">
        <v>811</v>
      </c>
      <c r="F646" s="2">
        <v>149</v>
      </c>
      <c r="G646" s="2">
        <v>188048</v>
      </c>
      <c r="H646" s="2">
        <v>6</v>
      </c>
      <c r="I646" s="2" t="s">
        <v>78</v>
      </c>
      <c r="J646" s="3">
        <v>0.183723797780518</v>
      </c>
      <c r="K646" s="21">
        <v>1262.06711409396</v>
      </c>
      <c r="L646" s="21">
        <v>31341.3333333333</v>
      </c>
      <c r="M646" s="21">
        <v>135.166666666667</v>
      </c>
      <c r="N646" s="2" t="s">
        <v>79</v>
      </c>
    </row>
    <row r="647" s="2" customFormat="1" spans="1:14">
      <c r="A647" s="20">
        <v>45853</v>
      </c>
      <c r="B647" s="2" t="s">
        <v>86</v>
      </c>
      <c r="C647" s="2" t="s">
        <v>87</v>
      </c>
      <c r="D647" s="2">
        <v>1</v>
      </c>
      <c r="E647" s="2">
        <v>890</v>
      </c>
      <c r="F647" s="2">
        <v>153</v>
      </c>
      <c r="G647" s="2">
        <v>178213</v>
      </c>
      <c r="H647" s="2">
        <v>4</v>
      </c>
      <c r="I647" s="2" t="s">
        <v>78</v>
      </c>
      <c r="J647" s="3">
        <v>0.171910112359551</v>
      </c>
      <c r="K647" s="21">
        <v>1164.7908496732</v>
      </c>
      <c r="L647" s="21">
        <v>44553.25</v>
      </c>
      <c r="M647" s="21">
        <v>222.5</v>
      </c>
      <c r="N647" s="2" t="s">
        <v>79</v>
      </c>
    </row>
    <row r="648" s="2" customFormat="1" spans="1:14">
      <c r="A648" s="20">
        <v>45854</v>
      </c>
      <c r="B648" s="2" t="s">
        <v>86</v>
      </c>
      <c r="C648" s="2" t="s">
        <v>87</v>
      </c>
      <c r="D648" s="2">
        <v>1</v>
      </c>
      <c r="E648" s="2">
        <v>959</v>
      </c>
      <c r="F648" s="2">
        <v>200</v>
      </c>
      <c r="G648" s="2">
        <v>287999</v>
      </c>
      <c r="H648" s="2">
        <v>6</v>
      </c>
      <c r="I648" s="2" t="s">
        <v>81</v>
      </c>
      <c r="J648" s="3">
        <v>0.208550573514077</v>
      </c>
      <c r="K648" s="21">
        <v>1439.995</v>
      </c>
      <c r="L648" s="21">
        <v>47999.8333333333</v>
      </c>
      <c r="M648" s="21">
        <v>159.833333333333</v>
      </c>
      <c r="N648" s="2" t="s">
        <v>79</v>
      </c>
    </row>
    <row r="649" s="2" customFormat="1" spans="1:14">
      <c r="A649" s="20">
        <v>45855</v>
      </c>
      <c r="B649" s="2" t="s">
        <v>86</v>
      </c>
      <c r="C649" s="2" t="s">
        <v>87</v>
      </c>
      <c r="D649" s="2">
        <v>1</v>
      </c>
      <c r="E649" s="2">
        <v>878</v>
      </c>
      <c r="F649" s="2">
        <v>172</v>
      </c>
      <c r="G649" s="2">
        <v>281337</v>
      </c>
      <c r="H649" s="2">
        <v>4</v>
      </c>
      <c r="I649" s="2" t="s">
        <v>78</v>
      </c>
      <c r="J649" s="3">
        <v>0.195899772209567</v>
      </c>
      <c r="K649" s="21">
        <v>1635.68023255814</v>
      </c>
      <c r="L649" s="21">
        <v>70334.25</v>
      </c>
      <c r="M649" s="21">
        <v>219.5</v>
      </c>
      <c r="N649" s="2" t="s">
        <v>79</v>
      </c>
    </row>
    <row r="650" s="2" customFormat="1" spans="1:14">
      <c r="A650" s="20">
        <v>45856</v>
      </c>
      <c r="B650" s="2" t="s">
        <v>86</v>
      </c>
      <c r="C650" s="2" t="s">
        <v>87</v>
      </c>
      <c r="D650" s="2">
        <v>1</v>
      </c>
      <c r="E650" s="2">
        <v>857</v>
      </c>
      <c r="F650" s="2">
        <v>179</v>
      </c>
      <c r="G650" s="2">
        <v>233004</v>
      </c>
      <c r="H650" s="2">
        <v>4</v>
      </c>
      <c r="I650" s="2" t="s">
        <v>78</v>
      </c>
      <c r="J650" s="3">
        <v>0.208868144690782</v>
      </c>
      <c r="K650" s="21">
        <v>1301.69832402235</v>
      </c>
      <c r="L650" s="21">
        <v>58251</v>
      </c>
      <c r="M650" s="21">
        <v>214.25</v>
      </c>
      <c r="N650" s="2" t="s">
        <v>79</v>
      </c>
    </row>
    <row r="651" s="2" customFormat="1" spans="1:14">
      <c r="A651" s="20">
        <v>45857</v>
      </c>
      <c r="B651" s="2" t="s">
        <v>86</v>
      </c>
      <c r="C651" s="2" t="s">
        <v>87</v>
      </c>
      <c r="D651" s="2">
        <v>1</v>
      </c>
      <c r="E651" s="2">
        <v>1188</v>
      </c>
      <c r="F651" s="2">
        <v>238</v>
      </c>
      <c r="G651" s="2">
        <v>310202</v>
      </c>
      <c r="H651" s="2">
        <v>8</v>
      </c>
      <c r="I651" s="2" t="s">
        <v>78</v>
      </c>
      <c r="J651" s="3">
        <v>0.2003367003367</v>
      </c>
      <c r="K651" s="21">
        <v>1303.36974789916</v>
      </c>
      <c r="L651" s="21">
        <v>38775.25</v>
      </c>
      <c r="M651" s="21">
        <v>148.5</v>
      </c>
      <c r="N651" s="2" t="s">
        <v>80</v>
      </c>
    </row>
    <row r="652" s="2" customFormat="1" spans="1:14">
      <c r="A652" s="20">
        <v>45858</v>
      </c>
      <c r="B652" s="2" t="s">
        <v>86</v>
      </c>
      <c r="C652" s="2" t="s">
        <v>87</v>
      </c>
      <c r="D652" s="2">
        <v>1</v>
      </c>
      <c r="E652" s="2">
        <v>1047</v>
      </c>
      <c r="F652" s="2">
        <v>232</v>
      </c>
      <c r="G652" s="2">
        <v>356433</v>
      </c>
      <c r="H652" s="2">
        <v>7</v>
      </c>
      <c r="I652" s="2" t="s">
        <v>78</v>
      </c>
      <c r="J652" s="3">
        <v>0.221585482330468</v>
      </c>
      <c r="K652" s="21">
        <v>1536.34913793103</v>
      </c>
      <c r="L652" s="21">
        <v>50919</v>
      </c>
      <c r="M652" s="21">
        <v>149.571428571429</v>
      </c>
      <c r="N652" s="2" t="s">
        <v>80</v>
      </c>
    </row>
    <row r="653" s="2" customFormat="1" spans="1:14">
      <c r="A653" s="20">
        <v>45859</v>
      </c>
      <c r="B653" s="2" t="s">
        <v>86</v>
      </c>
      <c r="C653" s="2" t="s">
        <v>87</v>
      </c>
      <c r="D653" s="2">
        <v>1</v>
      </c>
      <c r="E653" s="2">
        <v>794</v>
      </c>
      <c r="F653" s="2">
        <v>151</v>
      </c>
      <c r="G653" s="2">
        <v>186067</v>
      </c>
      <c r="H653" s="2">
        <v>9</v>
      </c>
      <c r="I653" s="2" t="s">
        <v>78</v>
      </c>
      <c r="J653" s="3">
        <v>0.190176322418136</v>
      </c>
      <c r="K653" s="21">
        <v>1232.23178807947</v>
      </c>
      <c r="L653" s="21">
        <v>20674.1111111111</v>
      </c>
      <c r="M653" s="21">
        <v>88.2222222222222</v>
      </c>
      <c r="N653" s="2" t="s">
        <v>79</v>
      </c>
    </row>
    <row r="654" s="2" customFormat="1" spans="1:14">
      <c r="A654" s="20">
        <v>45860</v>
      </c>
      <c r="B654" s="2" t="s">
        <v>86</v>
      </c>
      <c r="C654" s="2" t="s">
        <v>87</v>
      </c>
      <c r="D654" s="2">
        <v>1</v>
      </c>
      <c r="E654" s="2">
        <v>750</v>
      </c>
      <c r="F654" s="2">
        <v>139</v>
      </c>
      <c r="G654" s="2">
        <v>168761</v>
      </c>
      <c r="H654" s="2">
        <v>7</v>
      </c>
      <c r="I654" s="2" t="s">
        <v>78</v>
      </c>
      <c r="J654" s="3">
        <v>0.185333333333333</v>
      </c>
      <c r="K654" s="21">
        <v>1214.10791366907</v>
      </c>
      <c r="L654" s="21">
        <v>24108.7142857143</v>
      </c>
      <c r="M654" s="21">
        <v>107.142857142857</v>
      </c>
      <c r="N654" s="2" t="s">
        <v>79</v>
      </c>
    </row>
    <row r="655" s="2" customFormat="1" spans="1:14">
      <c r="A655" s="20">
        <v>45861</v>
      </c>
      <c r="B655" s="2" t="s">
        <v>86</v>
      </c>
      <c r="C655" s="2" t="s">
        <v>87</v>
      </c>
      <c r="D655" s="2">
        <v>1</v>
      </c>
      <c r="E655" s="2">
        <v>1008</v>
      </c>
      <c r="F655" s="2">
        <v>193</v>
      </c>
      <c r="G655" s="2">
        <v>264499</v>
      </c>
      <c r="H655" s="2">
        <v>7</v>
      </c>
      <c r="I655" s="2" t="s">
        <v>78</v>
      </c>
      <c r="J655" s="3">
        <v>0.191468253968254</v>
      </c>
      <c r="K655" s="21">
        <v>1370.46113989637</v>
      </c>
      <c r="L655" s="21">
        <v>37785.5714285714</v>
      </c>
      <c r="M655" s="21">
        <v>144</v>
      </c>
      <c r="N655" s="2" t="s">
        <v>79</v>
      </c>
    </row>
    <row r="656" s="2" customFormat="1" spans="1:14">
      <c r="A656" s="20">
        <v>45862</v>
      </c>
      <c r="B656" s="2" t="s">
        <v>86</v>
      </c>
      <c r="C656" s="2" t="s">
        <v>87</v>
      </c>
      <c r="D656" s="2">
        <v>1</v>
      </c>
      <c r="E656" s="2">
        <v>765</v>
      </c>
      <c r="F656" s="2">
        <v>153</v>
      </c>
      <c r="G656" s="2">
        <v>229712</v>
      </c>
      <c r="H656" s="2">
        <v>8</v>
      </c>
      <c r="I656" s="2" t="s">
        <v>81</v>
      </c>
      <c r="J656" s="3">
        <v>0.2</v>
      </c>
      <c r="K656" s="21">
        <v>1501.38562091503</v>
      </c>
      <c r="L656" s="21">
        <v>28714</v>
      </c>
      <c r="M656" s="21">
        <v>95.625</v>
      </c>
      <c r="N656" s="2" t="s">
        <v>79</v>
      </c>
    </row>
    <row r="657" s="2" customFormat="1" spans="1:14">
      <c r="A657" s="20">
        <v>45863</v>
      </c>
      <c r="B657" s="2" t="s">
        <v>86</v>
      </c>
      <c r="C657" s="2" t="s">
        <v>87</v>
      </c>
      <c r="D657" s="2">
        <v>1</v>
      </c>
      <c r="E657" s="2">
        <v>975</v>
      </c>
      <c r="F657" s="2">
        <v>178</v>
      </c>
      <c r="G657" s="2">
        <v>238860</v>
      </c>
      <c r="H657" s="2">
        <v>5</v>
      </c>
      <c r="I657" s="2" t="s">
        <v>81</v>
      </c>
      <c r="J657" s="3">
        <v>0.182564102564103</v>
      </c>
      <c r="K657" s="21">
        <v>1341.91011235955</v>
      </c>
      <c r="L657" s="21">
        <v>47772</v>
      </c>
      <c r="M657" s="21">
        <v>195</v>
      </c>
      <c r="N657" s="2" t="s">
        <v>79</v>
      </c>
    </row>
    <row r="658" s="2" customFormat="1" spans="1:14">
      <c r="A658" s="20">
        <v>45864</v>
      </c>
      <c r="B658" s="2" t="s">
        <v>86</v>
      </c>
      <c r="C658" s="2" t="s">
        <v>87</v>
      </c>
      <c r="D658" s="2">
        <v>1</v>
      </c>
      <c r="E658" s="2">
        <v>1196</v>
      </c>
      <c r="F658" s="2">
        <v>245</v>
      </c>
      <c r="G658" s="2">
        <v>372582</v>
      </c>
      <c r="H658" s="2">
        <v>6</v>
      </c>
      <c r="I658" s="2" t="s">
        <v>78</v>
      </c>
      <c r="J658" s="3">
        <v>0.204849498327759</v>
      </c>
      <c r="K658" s="21">
        <v>1520.74285714286</v>
      </c>
      <c r="L658" s="21">
        <v>62097</v>
      </c>
      <c r="M658" s="21">
        <v>199.333333333333</v>
      </c>
      <c r="N658" s="2" t="s">
        <v>80</v>
      </c>
    </row>
    <row r="659" s="2" customFormat="1" spans="1:14">
      <c r="A659" s="20">
        <v>45865</v>
      </c>
      <c r="B659" s="2" t="s">
        <v>86</v>
      </c>
      <c r="C659" s="2" t="s">
        <v>87</v>
      </c>
      <c r="D659" s="2">
        <v>1</v>
      </c>
      <c r="E659" s="2">
        <v>1391</v>
      </c>
      <c r="F659" s="2">
        <v>258</v>
      </c>
      <c r="G659" s="2">
        <v>340417</v>
      </c>
      <c r="H659" s="2">
        <v>6</v>
      </c>
      <c r="I659" s="2" t="s">
        <v>78</v>
      </c>
      <c r="J659" s="3">
        <v>0.185478073328541</v>
      </c>
      <c r="K659" s="21">
        <v>1319.44573643411</v>
      </c>
      <c r="L659" s="21">
        <v>56736.1666666667</v>
      </c>
      <c r="M659" s="21">
        <v>231.833333333333</v>
      </c>
      <c r="N659" s="2" t="s">
        <v>80</v>
      </c>
    </row>
    <row r="660" s="2" customFormat="1" spans="1:14">
      <c r="A660" s="20">
        <v>45866</v>
      </c>
      <c r="B660" s="2" t="s">
        <v>86</v>
      </c>
      <c r="C660" s="2" t="s">
        <v>87</v>
      </c>
      <c r="D660" s="2">
        <v>1</v>
      </c>
      <c r="E660" s="2">
        <v>686</v>
      </c>
      <c r="F660" s="2">
        <v>138</v>
      </c>
      <c r="G660" s="2">
        <v>231046</v>
      </c>
      <c r="H660" s="2">
        <v>5</v>
      </c>
      <c r="I660" s="2" t="s">
        <v>78</v>
      </c>
      <c r="J660" s="3">
        <v>0.201166180758018</v>
      </c>
      <c r="K660" s="21">
        <v>1674.24637681159</v>
      </c>
      <c r="L660" s="21">
        <v>46209.2</v>
      </c>
      <c r="M660" s="21">
        <v>137.2</v>
      </c>
      <c r="N660" s="2" t="s">
        <v>79</v>
      </c>
    </row>
    <row r="661" s="2" customFormat="1" spans="1:14">
      <c r="A661" s="20">
        <v>45867</v>
      </c>
      <c r="B661" s="2" t="s">
        <v>86</v>
      </c>
      <c r="C661" s="2" t="s">
        <v>87</v>
      </c>
      <c r="D661" s="2">
        <v>1</v>
      </c>
      <c r="E661" s="2">
        <v>957</v>
      </c>
      <c r="F661" s="2">
        <v>187</v>
      </c>
      <c r="G661" s="2">
        <v>303806</v>
      </c>
      <c r="H661" s="2">
        <v>4</v>
      </c>
      <c r="I661" s="2" t="s">
        <v>81</v>
      </c>
      <c r="J661" s="3">
        <v>0.195402298850575</v>
      </c>
      <c r="K661" s="21">
        <v>1624.63101604278</v>
      </c>
      <c r="L661" s="21">
        <v>75951.5</v>
      </c>
      <c r="M661" s="21">
        <v>239.25</v>
      </c>
      <c r="N661" s="2" t="s">
        <v>79</v>
      </c>
    </row>
    <row r="662" s="2" customFormat="1" spans="1:14">
      <c r="A662" s="20">
        <v>45868</v>
      </c>
      <c r="B662" s="2" t="s">
        <v>86</v>
      </c>
      <c r="C662" s="2" t="s">
        <v>87</v>
      </c>
      <c r="D662" s="2">
        <v>1</v>
      </c>
      <c r="E662" s="2">
        <v>1051</v>
      </c>
      <c r="F662" s="2">
        <v>205</v>
      </c>
      <c r="G662" s="2">
        <v>337156</v>
      </c>
      <c r="H662" s="2">
        <v>4</v>
      </c>
      <c r="I662" s="2" t="s">
        <v>78</v>
      </c>
      <c r="J662" s="3">
        <v>0.195052331113226</v>
      </c>
      <c r="K662" s="21">
        <v>1644.66341463415</v>
      </c>
      <c r="L662" s="21">
        <v>84289</v>
      </c>
      <c r="M662" s="21">
        <v>262.75</v>
      </c>
      <c r="N662" s="2" t="s">
        <v>79</v>
      </c>
    </row>
    <row r="663" s="2" customFormat="1" spans="1:14">
      <c r="A663" s="20">
        <v>45869</v>
      </c>
      <c r="B663" s="2" t="s">
        <v>86</v>
      </c>
      <c r="C663" s="2" t="s">
        <v>87</v>
      </c>
      <c r="D663" s="2">
        <v>1</v>
      </c>
      <c r="E663" s="2">
        <v>824</v>
      </c>
      <c r="F663" s="2">
        <v>160</v>
      </c>
      <c r="G663" s="2">
        <v>256258</v>
      </c>
      <c r="H663" s="2">
        <v>5</v>
      </c>
      <c r="I663" s="2" t="s">
        <v>78</v>
      </c>
      <c r="J663" s="3">
        <v>0.194174757281553</v>
      </c>
      <c r="K663" s="21">
        <v>1601.6125</v>
      </c>
      <c r="L663" s="21">
        <v>51251.6</v>
      </c>
      <c r="M663" s="21">
        <v>164.8</v>
      </c>
      <c r="N663" s="2" t="s">
        <v>79</v>
      </c>
    </row>
    <row r="664" s="2" customFormat="1" spans="1:14">
      <c r="A664" s="20">
        <v>45870</v>
      </c>
      <c r="B664" s="2" t="s">
        <v>86</v>
      </c>
      <c r="C664" s="2" t="s">
        <v>87</v>
      </c>
      <c r="D664" s="2">
        <v>1</v>
      </c>
      <c r="E664" s="2">
        <v>1054</v>
      </c>
      <c r="F664" s="2">
        <v>230</v>
      </c>
      <c r="G664" s="2">
        <v>272690</v>
      </c>
      <c r="H664" s="2">
        <v>8</v>
      </c>
      <c r="I664" s="2" t="s">
        <v>78</v>
      </c>
      <c r="J664" s="3">
        <v>0.218216318785579</v>
      </c>
      <c r="K664" s="21">
        <v>1185.60869565217</v>
      </c>
      <c r="L664" s="21">
        <v>34086.25</v>
      </c>
      <c r="M664" s="21">
        <v>131.75</v>
      </c>
      <c r="N664" s="2" t="s">
        <v>79</v>
      </c>
    </row>
    <row r="665" s="2" customFormat="1" spans="1:14">
      <c r="A665" s="20">
        <v>45871</v>
      </c>
      <c r="B665" s="2" t="s">
        <v>86</v>
      </c>
      <c r="C665" s="2" t="s">
        <v>87</v>
      </c>
      <c r="D665" s="2">
        <v>1</v>
      </c>
      <c r="E665" s="2">
        <v>1330</v>
      </c>
      <c r="F665" s="2">
        <v>275</v>
      </c>
      <c r="G665" s="2">
        <v>460698</v>
      </c>
      <c r="H665" s="2">
        <v>6</v>
      </c>
      <c r="I665" s="2" t="s">
        <v>78</v>
      </c>
      <c r="J665" s="3">
        <v>0.206766917293233</v>
      </c>
      <c r="K665" s="21">
        <v>1675.26545454545</v>
      </c>
      <c r="L665" s="21">
        <v>76783</v>
      </c>
      <c r="M665" s="21">
        <v>221.666666666667</v>
      </c>
      <c r="N665" s="2" t="s">
        <v>80</v>
      </c>
    </row>
    <row r="666" s="2" customFormat="1" spans="1:14">
      <c r="A666" s="20">
        <v>45872</v>
      </c>
      <c r="B666" s="2" t="s">
        <v>86</v>
      </c>
      <c r="C666" s="2" t="s">
        <v>87</v>
      </c>
      <c r="D666" s="2">
        <v>1</v>
      </c>
      <c r="E666" s="2">
        <v>1109</v>
      </c>
      <c r="F666" s="2">
        <v>226</v>
      </c>
      <c r="G666" s="2">
        <v>319855</v>
      </c>
      <c r="H666" s="2">
        <v>6</v>
      </c>
      <c r="I666" s="2" t="s">
        <v>81</v>
      </c>
      <c r="J666" s="3">
        <v>0.203787195671776</v>
      </c>
      <c r="K666" s="21">
        <v>1415.28761061947</v>
      </c>
      <c r="L666" s="21">
        <v>53309.1666666667</v>
      </c>
      <c r="M666" s="21">
        <v>184.833333333333</v>
      </c>
      <c r="N666" s="2" t="s">
        <v>80</v>
      </c>
    </row>
    <row r="667" s="2" customFormat="1" spans="1:14">
      <c r="A667" s="20">
        <v>45873</v>
      </c>
      <c r="B667" s="2" t="s">
        <v>86</v>
      </c>
      <c r="C667" s="2" t="s">
        <v>87</v>
      </c>
      <c r="D667" s="2">
        <v>1</v>
      </c>
      <c r="E667" s="2">
        <v>1001</v>
      </c>
      <c r="F667" s="2">
        <v>197</v>
      </c>
      <c r="G667" s="2">
        <v>237332</v>
      </c>
      <c r="H667" s="2">
        <v>5</v>
      </c>
      <c r="I667" s="2" t="s">
        <v>78</v>
      </c>
      <c r="J667" s="3">
        <v>0.196803196803197</v>
      </c>
      <c r="K667" s="21">
        <v>1204.730964467</v>
      </c>
      <c r="L667" s="21">
        <v>47466.4</v>
      </c>
      <c r="M667" s="21">
        <v>200.2</v>
      </c>
      <c r="N667" s="2" t="s">
        <v>79</v>
      </c>
    </row>
    <row r="668" s="2" customFormat="1" spans="1:14">
      <c r="A668" s="20">
        <v>45874</v>
      </c>
      <c r="B668" s="2" t="s">
        <v>86</v>
      </c>
      <c r="C668" s="2" t="s">
        <v>87</v>
      </c>
      <c r="D668" s="2">
        <v>1</v>
      </c>
      <c r="E668" s="2">
        <v>973</v>
      </c>
      <c r="F668" s="2">
        <v>192</v>
      </c>
      <c r="G668" s="2">
        <v>293524</v>
      </c>
      <c r="H668" s="2">
        <v>4</v>
      </c>
      <c r="I668" s="2" t="s">
        <v>78</v>
      </c>
      <c r="J668" s="3">
        <v>0.197327852004111</v>
      </c>
      <c r="K668" s="21">
        <v>1528.77083333333</v>
      </c>
      <c r="L668" s="21">
        <v>73381</v>
      </c>
      <c r="M668" s="21">
        <v>243.25</v>
      </c>
      <c r="N668" s="2" t="s">
        <v>79</v>
      </c>
    </row>
    <row r="669" s="2" customFormat="1" spans="1:14">
      <c r="A669" s="20">
        <v>45875</v>
      </c>
      <c r="B669" s="2" t="s">
        <v>86</v>
      </c>
      <c r="C669" s="2" t="s">
        <v>87</v>
      </c>
      <c r="D669" s="2">
        <v>1</v>
      </c>
      <c r="E669" s="2">
        <v>1004</v>
      </c>
      <c r="F669" s="2">
        <v>217</v>
      </c>
      <c r="G669" s="2">
        <v>362993</v>
      </c>
      <c r="H669" s="2">
        <v>9</v>
      </c>
      <c r="I669" s="2" t="s">
        <v>81</v>
      </c>
      <c r="J669" s="3">
        <v>0.216135458167331</v>
      </c>
      <c r="K669" s="21">
        <v>1672.77880184332</v>
      </c>
      <c r="L669" s="21">
        <v>40332.5555555555</v>
      </c>
      <c r="M669" s="21">
        <v>111.555555555556</v>
      </c>
      <c r="N669" s="2" t="s">
        <v>79</v>
      </c>
    </row>
    <row r="670" s="2" customFormat="1" spans="1:14">
      <c r="A670" s="20">
        <v>45876</v>
      </c>
      <c r="B670" s="2" t="s">
        <v>86</v>
      </c>
      <c r="C670" s="2" t="s">
        <v>87</v>
      </c>
      <c r="D670" s="2">
        <v>1</v>
      </c>
      <c r="E670" s="2">
        <v>931</v>
      </c>
      <c r="F670" s="2">
        <v>179</v>
      </c>
      <c r="G670" s="2">
        <v>278653</v>
      </c>
      <c r="H670" s="2">
        <v>5</v>
      </c>
      <c r="I670" s="2" t="s">
        <v>78</v>
      </c>
      <c r="J670" s="3">
        <v>0.192266380236305</v>
      </c>
      <c r="K670" s="21">
        <v>1556.72067039106</v>
      </c>
      <c r="L670" s="21">
        <v>55730.6</v>
      </c>
      <c r="M670" s="21">
        <v>186.2</v>
      </c>
      <c r="N670" s="2" t="s">
        <v>79</v>
      </c>
    </row>
    <row r="671" s="2" customFormat="1" spans="1:14">
      <c r="A671" s="20">
        <v>45877</v>
      </c>
      <c r="B671" s="2" t="s">
        <v>86</v>
      </c>
      <c r="C671" s="2" t="s">
        <v>87</v>
      </c>
      <c r="D671" s="2">
        <v>1</v>
      </c>
      <c r="E671" s="2">
        <v>887</v>
      </c>
      <c r="F671" s="2">
        <v>193</v>
      </c>
      <c r="G671" s="2">
        <v>301945</v>
      </c>
      <c r="H671" s="2">
        <v>6</v>
      </c>
      <c r="I671" s="2" t="s">
        <v>78</v>
      </c>
      <c r="J671" s="3">
        <v>0.217587373167982</v>
      </c>
      <c r="K671" s="21">
        <v>1564.48186528497</v>
      </c>
      <c r="L671" s="21">
        <v>50324.1666666667</v>
      </c>
      <c r="M671" s="21">
        <v>147.833333333333</v>
      </c>
      <c r="N671" s="2" t="s">
        <v>79</v>
      </c>
    </row>
    <row r="672" s="2" customFormat="1" spans="1:14">
      <c r="A672" s="20">
        <v>45878</v>
      </c>
      <c r="B672" s="2" t="s">
        <v>86</v>
      </c>
      <c r="C672" s="2" t="s">
        <v>87</v>
      </c>
      <c r="D672" s="2">
        <v>1</v>
      </c>
      <c r="E672" s="2">
        <v>1127</v>
      </c>
      <c r="F672" s="2">
        <v>214</v>
      </c>
      <c r="G672" s="2">
        <v>271181</v>
      </c>
      <c r="H672" s="2">
        <v>7</v>
      </c>
      <c r="I672" s="2" t="s">
        <v>78</v>
      </c>
      <c r="J672" s="3">
        <v>0.189884649511979</v>
      </c>
      <c r="K672" s="21">
        <v>1267.20093457944</v>
      </c>
      <c r="L672" s="21">
        <v>38740.1428571429</v>
      </c>
      <c r="M672" s="21">
        <v>161</v>
      </c>
      <c r="N672" s="2" t="s">
        <v>80</v>
      </c>
    </row>
    <row r="673" s="2" customFormat="1" spans="1:14">
      <c r="A673" s="20">
        <v>45879</v>
      </c>
      <c r="B673" s="2" t="s">
        <v>86</v>
      </c>
      <c r="C673" s="2" t="s">
        <v>87</v>
      </c>
      <c r="D673" s="2">
        <v>1</v>
      </c>
      <c r="E673" s="2">
        <v>1404</v>
      </c>
      <c r="F673" s="2">
        <v>307</v>
      </c>
      <c r="G673" s="2">
        <v>471669</v>
      </c>
      <c r="H673" s="2">
        <v>9</v>
      </c>
      <c r="I673" s="2" t="s">
        <v>78</v>
      </c>
      <c r="J673" s="3">
        <v>0.218660968660969</v>
      </c>
      <c r="K673" s="21">
        <v>1536.38110749186</v>
      </c>
      <c r="L673" s="21">
        <v>52407.6666666667</v>
      </c>
      <c r="M673" s="21">
        <v>156</v>
      </c>
      <c r="N673" s="2" t="s">
        <v>80</v>
      </c>
    </row>
    <row r="674" s="2" customFormat="1" spans="1:14">
      <c r="A674" s="20">
        <v>45880</v>
      </c>
      <c r="B674" s="2" t="s">
        <v>86</v>
      </c>
      <c r="C674" s="2" t="s">
        <v>87</v>
      </c>
      <c r="D674" s="2">
        <v>1</v>
      </c>
      <c r="E674" s="2">
        <v>861</v>
      </c>
      <c r="F674" s="2">
        <v>171</v>
      </c>
      <c r="G674" s="2">
        <v>237174</v>
      </c>
      <c r="H674" s="2">
        <v>9</v>
      </c>
      <c r="I674" s="2" t="s">
        <v>78</v>
      </c>
      <c r="J674" s="3">
        <v>0.198606271777003</v>
      </c>
      <c r="K674" s="21">
        <v>1386.98245614035</v>
      </c>
      <c r="L674" s="21">
        <v>26352.6666666667</v>
      </c>
      <c r="M674" s="21">
        <v>95.6666666666667</v>
      </c>
      <c r="N674" s="2" t="s">
        <v>79</v>
      </c>
    </row>
    <row r="675" s="2" customFormat="1" spans="1:14">
      <c r="A675" s="20">
        <v>45881</v>
      </c>
      <c r="B675" s="2" t="s">
        <v>86</v>
      </c>
      <c r="C675" s="2" t="s">
        <v>87</v>
      </c>
      <c r="D675" s="2">
        <v>1</v>
      </c>
      <c r="E675" s="2">
        <v>755</v>
      </c>
      <c r="F675" s="2">
        <v>138</v>
      </c>
      <c r="G675" s="2">
        <v>200205</v>
      </c>
      <c r="H675" s="2">
        <v>7</v>
      </c>
      <c r="I675" s="2" t="s">
        <v>78</v>
      </c>
      <c r="J675" s="3">
        <v>0.182781456953642</v>
      </c>
      <c r="K675" s="21">
        <v>1450.76086956522</v>
      </c>
      <c r="L675" s="21">
        <v>28600.7142857143</v>
      </c>
      <c r="M675" s="21">
        <v>107.857142857143</v>
      </c>
      <c r="N675" s="2" t="s">
        <v>79</v>
      </c>
    </row>
    <row r="676" s="2" customFormat="1" spans="1:14">
      <c r="A676" s="20">
        <v>45882</v>
      </c>
      <c r="B676" s="2" t="s">
        <v>86</v>
      </c>
      <c r="C676" s="2" t="s">
        <v>87</v>
      </c>
      <c r="D676" s="2">
        <v>1</v>
      </c>
      <c r="E676" s="2">
        <v>1053</v>
      </c>
      <c r="F676" s="2">
        <v>212</v>
      </c>
      <c r="G676" s="2">
        <v>303619</v>
      </c>
      <c r="H676" s="2">
        <v>4</v>
      </c>
      <c r="I676" s="2" t="s">
        <v>78</v>
      </c>
      <c r="J676" s="3">
        <v>0.201329534662868</v>
      </c>
      <c r="K676" s="21">
        <v>1432.16509433962</v>
      </c>
      <c r="L676" s="21">
        <v>75904.75</v>
      </c>
      <c r="M676" s="21">
        <v>263.25</v>
      </c>
      <c r="N676" s="2" t="s">
        <v>79</v>
      </c>
    </row>
    <row r="677" s="2" customFormat="1" spans="1:14">
      <c r="A677" s="20">
        <v>45883</v>
      </c>
      <c r="B677" s="2" t="s">
        <v>86</v>
      </c>
      <c r="C677" s="2" t="s">
        <v>87</v>
      </c>
      <c r="D677" s="2">
        <v>1</v>
      </c>
      <c r="E677" s="2">
        <v>871</v>
      </c>
      <c r="F677" s="2">
        <v>183</v>
      </c>
      <c r="G677" s="2">
        <v>299435</v>
      </c>
      <c r="H677" s="2">
        <v>7</v>
      </c>
      <c r="I677" s="2" t="s">
        <v>78</v>
      </c>
      <c r="J677" s="3">
        <v>0.210103329506315</v>
      </c>
      <c r="K677" s="21">
        <v>1636.25683060109</v>
      </c>
      <c r="L677" s="21">
        <v>42776.4285714286</v>
      </c>
      <c r="M677" s="21">
        <v>124.428571428571</v>
      </c>
      <c r="N677" s="2" t="s">
        <v>79</v>
      </c>
    </row>
    <row r="678" s="2" customFormat="1" spans="1:14">
      <c r="A678" s="20">
        <v>45884</v>
      </c>
      <c r="B678" s="2" t="s">
        <v>86</v>
      </c>
      <c r="C678" s="2" t="s">
        <v>87</v>
      </c>
      <c r="D678" s="2">
        <v>1</v>
      </c>
      <c r="E678" s="2">
        <v>1013</v>
      </c>
      <c r="F678" s="2">
        <v>234</v>
      </c>
      <c r="G678" s="2">
        <v>375656</v>
      </c>
      <c r="H678" s="2">
        <v>9</v>
      </c>
      <c r="I678" s="2" t="s">
        <v>78</v>
      </c>
      <c r="J678" s="3">
        <v>0.230997038499506</v>
      </c>
      <c r="K678" s="21">
        <v>1605.36752136752</v>
      </c>
      <c r="L678" s="21">
        <v>41739.5555555555</v>
      </c>
      <c r="M678" s="21">
        <v>112.555555555556</v>
      </c>
      <c r="N678" s="2" t="s">
        <v>79</v>
      </c>
    </row>
    <row r="679" s="2" customFormat="1" spans="1:14">
      <c r="A679" s="20">
        <v>45885</v>
      </c>
      <c r="B679" s="2" t="s">
        <v>86</v>
      </c>
      <c r="C679" s="2" t="s">
        <v>87</v>
      </c>
      <c r="D679" s="2">
        <v>1</v>
      </c>
      <c r="E679" s="2">
        <v>1208</v>
      </c>
      <c r="F679" s="2">
        <v>260</v>
      </c>
      <c r="G679" s="2">
        <v>406627</v>
      </c>
      <c r="H679" s="2">
        <v>7</v>
      </c>
      <c r="I679" s="2" t="s">
        <v>78</v>
      </c>
      <c r="J679" s="3">
        <v>0.21523178807947</v>
      </c>
      <c r="K679" s="21">
        <v>1563.95</v>
      </c>
      <c r="L679" s="21">
        <v>58089.5714285714</v>
      </c>
      <c r="M679" s="21">
        <v>172.571428571429</v>
      </c>
      <c r="N679" s="2" t="s">
        <v>80</v>
      </c>
    </row>
    <row r="680" s="2" customFormat="1" spans="1:14">
      <c r="A680" s="20">
        <v>45886</v>
      </c>
      <c r="B680" s="2" t="s">
        <v>86</v>
      </c>
      <c r="C680" s="2" t="s">
        <v>87</v>
      </c>
      <c r="D680" s="2">
        <v>1</v>
      </c>
      <c r="E680" s="2">
        <v>1243</v>
      </c>
      <c r="F680" s="2">
        <v>261</v>
      </c>
      <c r="G680" s="2">
        <v>410380</v>
      </c>
      <c r="H680" s="2">
        <v>8</v>
      </c>
      <c r="I680" s="2" t="s">
        <v>78</v>
      </c>
      <c r="J680" s="3">
        <v>0.209975864843122</v>
      </c>
      <c r="K680" s="21">
        <v>1572.33716475096</v>
      </c>
      <c r="L680" s="21">
        <v>51297.5</v>
      </c>
      <c r="M680" s="21">
        <v>155.375</v>
      </c>
      <c r="N680" s="2" t="s">
        <v>80</v>
      </c>
    </row>
    <row r="681" s="2" customFormat="1" spans="1:14">
      <c r="A681" s="20">
        <v>45887</v>
      </c>
      <c r="B681" s="2" t="s">
        <v>86</v>
      </c>
      <c r="C681" s="2" t="s">
        <v>87</v>
      </c>
      <c r="D681" s="2">
        <v>1</v>
      </c>
      <c r="E681" s="2">
        <v>928</v>
      </c>
      <c r="F681" s="2">
        <v>200</v>
      </c>
      <c r="G681" s="2">
        <v>285180</v>
      </c>
      <c r="H681" s="2">
        <v>8</v>
      </c>
      <c r="I681" s="2" t="s">
        <v>78</v>
      </c>
      <c r="J681" s="3">
        <v>0.21551724137931</v>
      </c>
      <c r="K681" s="21">
        <v>1425.9</v>
      </c>
      <c r="L681" s="21">
        <v>35647.5</v>
      </c>
      <c r="M681" s="21">
        <v>116</v>
      </c>
      <c r="N681" s="2" t="s">
        <v>79</v>
      </c>
    </row>
    <row r="682" s="2" customFormat="1" spans="1:14">
      <c r="A682" s="20">
        <v>45888</v>
      </c>
      <c r="B682" s="2" t="s">
        <v>86</v>
      </c>
      <c r="C682" s="2" t="s">
        <v>87</v>
      </c>
      <c r="D682" s="2">
        <v>1</v>
      </c>
      <c r="E682" s="2">
        <v>715</v>
      </c>
      <c r="F682" s="2">
        <v>136</v>
      </c>
      <c r="G682" s="2">
        <v>210407</v>
      </c>
      <c r="H682" s="2">
        <v>4</v>
      </c>
      <c r="I682" s="2" t="s">
        <v>78</v>
      </c>
      <c r="J682" s="3">
        <v>0.19020979020979</v>
      </c>
      <c r="K682" s="21">
        <v>1547.11029411765</v>
      </c>
      <c r="L682" s="21">
        <v>52601.75</v>
      </c>
      <c r="M682" s="21">
        <v>178.75</v>
      </c>
      <c r="N682" s="2" t="s">
        <v>79</v>
      </c>
    </row>
    <row r="683" s="2" customFormat="1" spans="1:14">
      <c r="A683" s="20">
        <v>45889</v>
      </c>
      <c r="B683" s="2" t="s">
        <v>86</v>
      </c>
      <c r="C683" s="2" t="s">
        <v>87</v>
      </c>
      <c r="D683" s="2">
        <v>1</v>
      </c>
      <c r="E683" s="2">
        <v>702</v>
      </c>
      <c r="F683" s="2">
        <v>139</v>
      </c>
      <c r="G683" s="2">
        <v>174446</v>
      </c>
      <c r="H683" s="2">
        <v>6</v>
      </c>
      <c r="I683" s="2" t="s">
        <v>78</v>
      </c>
      <c r="J683" s="3">
        <v>0.198005698005698</v>
      </c>
      <c r="K683" s="21">
        <v>1255.0071942446</v>
      </c>
      <c r="L683" s="21">
        <v>29074.3333333333</v>
      </c>
      <c r="M683" s="21">
        <v>117</v>
      </c>
      <c r="N683" s="2" t="s">
        <v>79</v>
      </c>
    </row>
    <row r="684" s="2" customFormat="1" spans="1:14">
      <c r="A684" s="20">
        <v>45890</v>
      </c>
      <c r="B684" s="2" t="s">
        <v>86</v>
      </c>
      <c r="C684" s="2" t="s">
        <v>87</v>
      </c>
      <c r="D684" s="2">
        <v>1</v>
      </c>
      <c r="E684" s="2">
        <v>900</v>
      </c>
      <c r="F684" s="2">
        <v>175</v>
      </c>
      <c r="G684" s="2">
        <v>270377</v>
      </c>
      <c r="H684" s="2">
        <v>5</v>
      </c>
      <c r="I684" s="2" t="s">
        <v>78</v>
      </c>
      <c r="J684" s="3">
        <v>0.194444444444444</v>
      </c>
      <c r="K684" s="21">
        <v>1545.01142857143</v>
      </c>
      <c r="L684" s="21">
        <v>54075.4</v>
      </c>
      <c r="M684" s="21">
        <v>180</v>
      </c>
      <c r="N684" s="2" t="s">
        <v>79</v>
      </c>
    </row>
    <row r="685" s="2" customFormat="1" spans="1:14">
      <c r="A685" s="20">
        <v>45891</v>
      </c>
      <c r="B685" s="2" t="s">
        <v>86</v>
      </c>
      <c r="C685" s="2" t="s">
        <v>87</v>
      </c>
      <c r="D685" s="2">
        <v>1</v>
      </c>
      <c r="E685" s="2">
        <v>858</v>
      </c>
      <c r="F685" s="2">
        <v>164</v>
      </c>
      <c r="G685" s="2">
        <v>253752</v>
      </c>
      <c r="H685" s="2">
        <v>5</v>
      </c>
      <c r="I685" s="2" t="s">
        <v>78</v>
      </c>
      <c r="J685" s="3">
        <v>0.191142191142191</v>
      </c>
      <c r="K685" s="21">
        <v>1547.26829268293</v>
      </c>
      <c r="L685" s="21">
        <v>50750.4</v>
      </c>
      <c r="M685" s="21">
        <v>171.6</v>
      </c>
      <c r="N685" s="2" t="s">
        <v>79</v>
      </c>
    </row>
    <row r="686" s="2" customFormat="1" spans="1:14">
      <c r="A686" s="20">
        <v>45892</v>
      </c>
      <c r="B686" s="2" t="s">
        <v>86</v>
      </c>
      <c r="C686" s="2" t="s">
        <v>87</v>
      </c>
      <c r="D686" s="2">
        <v>1</v>
      </c>
      <c r="E686" s="2">
        <v>883</v>
      </c>
      <c r="F686" s="2">
        <v>162</v>
      </c>
      <c r="G686" s="2">
        <v>194316</v>
      </c>
      <c r="H686" s="2">
        <v>7</v>
      </c>
      <c r="I686" s="2" t="s">
        <v>78</v>
      </c>
      <c r="J686" s="3">
        <v>0.183465458663647</v>
      </c>
      <c r="K686" s="21">
        <v>1199.48148148148</v>
      </c>
      <c r="L686" s="21">
        <v>27759.4285714286</v>
      </c>
      <c r="M686" s="21">
        <v>126.142857142857</v>
      </c>
      <c r="N686" s="2" t="s">
        <v>80</v>
      </c>
    </row>
    <row r="687" s="2" customFormat="1" spans="1:14">
      <c r="A687" s="20">
        <v>45893</v>
      </c>
      <c r="B687" s="2" t="s">
        <v>86</v>
      </c>
      <c r="C687" s="2" t="s">
        <v>87</v>
      </c>
      <c r="D687" s="2">
        <v>1</v>
      </c>
      <c r="E687" s="2">
        <v>1400</v>
      </c>
      <c r="F687" s="2">
        <v>277</v>
      </c>
      <c r="G687" s="2">
        <v>396567</v>
      </c>
      <c r="H687" s="2">
        <v>8</v>
      </c>
      <c r="I687" s="2" t="s">
        <v>78</v>
      </c>
      <c r="J687" s="3">
        <v>0.197857142857143</v>
      </c>
      <c r="K687" s="21">
        <v>1431.64981949459</v>
      </c>
      <c r="L687" s="21">
        <v>49570.875</v>
      </c>
      <c r="M687" s="21">
        <v>175</v>
      </c>
      <c r="N687" s="2" t="s">
        <v>80</v>
      </c>
    </row>
    <row r="688" s="2" customFormat="1" spans="1:14">
      <c r="A688" s="20">
        <v>45894</v>
      </c>
      <c r="B688" s="2" t="s">
        <v>86</v>
      </c>
      <c r="C688" s="2" t="s">
        <v>87</v>
      </c>
      <c r="D688" s="2">
        <v>1</v>
      </c>
      <c r="E688" s="2">
        <v>860</v>
      </c>
      <c r="F688" s="2">
        <v>154</v>
      </c>
      <c r="G688" s="2">
        <v>238631</v>
      </c>
      <c r="H688" s="2">
        <v>4</v>
      </c>
      <c r="I688" s="2" t="s">
        <v>78</v>
      </c>
      <c r="J688" s="3">
        <v>0.179069767441861</v>
      </c>
      <c r="K688" s="21">
        <v>1549.55194805195</v>
      </c>
      <c r="L688" s="21">
        <v>59657.75</v>
      </c>
      <c r="M688" s="21">
        <v>215</v>
      </c>
      <c r="N688" s="2" t="s">
        <v>79</v>
      </c>
    </row>
    <row r="689" s="2" customFormat="1" spans="1:14">
      <c r="A689" s="20">
        <v>45895</v>
      </c>
      <c r="B689" s="2" t="s">
        <v>86</v>
      </c>
      <c r="C689" s="2" t="s">
        <v>87</v>
      </c>
      <c r="D689" s="2">
        <v>1</v>
      </c>
      <c r="E689" s="2">
        <v>752</v>
      </c>
      <c r="F689" s="2">
        <v>159</v>
      </c>
      <c r="G689" s="2">
        <v>212078</v>
      </c>
      <c r="H689" s="2">
        <v>6</v>
      </c>
      <c r="I689" s="2" t="s">
        <v>78</v>
      </c>
      <c r="J689" s="3">
        <v>0.211436170212766</v>
      </c>
      <c r="K689" s="21">
        <v>1333.82389937107</v>
      </c>
      <c r="L689" s="21">
        <v>35346.3333333333</v>
      </c>
      <c r="M689" s="21">
        <v>125.333333333333</v>
      </c>
      <c r="N689" s="2" t="s">
        <v>79</v>
      </c>
    </row>
    <row r="690" s="2" customFormat="1" spans="1:14">
      <c r="A690" s="20">
        <v>45896</v>
      </c>
      <c r="B690" s="2" t="s">
        <v>86</v>
      </c>
      <c r="C690" s="2" t="s">
        <v>87</v>
      </c>
      <c r="D690" s="2">
        <v>1</v>
      </c>
      <c r="E690" s="2">
        <v>770</v>
      </c>
      <c r="F690" s="2">
        <v>167</v>
      </c>
      <c r="G690" s="2">
        <v>216316</v>
      </c>
      <c r="H690" s="2">
        <v>8</v>
      </c>
      <c r="I690" s="2" t="s">
        <v>78</v>
      </c>
      <c r="J690" s="3">
        <v>0.216883116883117</v>
      </c>
      <c r="K690" s="21">
        <v>1295.30538922156</v>
      </c>
      <c r="L690" s="21">
        <v>27039.5</v>
      </c>
      <c r="M690" s="21">
        <v>96.25</v>
      </c>
      <c r="N690" s="2" t="s">
        <v>79</v>
      </c>
    </row>
    <row r="691" s="2" customFormat="1" spans="1:14">
      <c r="A691" s="20">
        <v>45897</v>
      </c>
      <c r="B691" s="2" t="s">
        <v>86</v>
      </c>
      <c r="C691" s="2" t="s">
        <v>87</v>
      </c>
      <c r="D691" s="2">
        <v>1</v>
      </c>
      <c r="E691" s="2">
        <v>1108</v>
      </c>
      <c r="F691" s="2">
        <v>209</v>
      </c>
      <c r="G691" s="2">
        <v>350903</v>
      </c>
      <c r="H691" s="2">
        <v>6</v>
      </c>
      <c r="I691" s="2" t="s">
        <v>78</v>
      </c>
      <c r="J691" s="3">
        <v>0.188628158844765</v>
      </c>
      <c r="K691" s="21">
        <v>1678.96172248804</v>
      </c>
      <c r="L691" s="21">
        <v>58483.8333333333</v>
      </c>
      <c r="M691" s="21">
        <v>184.666666666667</v>
      </c>
      <c r="N691" s="2" t="s">
        <v>79</v>
      </c>
    </row>
    <row r="692" s="2" customFormat="1" spans="1:14">
      <c r="A692" s="20">
        <v>45898</v>
      </c>
      <c r="B692" s="2" t="s">
        <v>86</v>
      </c>
      <c r="C692" s="2" t="s">
        <v>87</v>
      </c>
      <c r="D692" s="2">
        <v>1</v>
      </c>
      <c r="E692" s="2">
        <v>981</v>
      </c>
      <c r="F692" s="2">
        <v>207</v>
      </c>
      <c r="G692" s="2">
        <v>316550</v>
      </c>
      <c r="H692" s="2">
        <v>9</v>
      </c>
      <c r="I692" s="2" t="s">
        <v>78</v>
      </c>
      <c r="J692" s="3">
        <v>0.211009174311927</v>
      </c>
      <c r="K692" s="21">
        <v>1529.2270531401</v>
      </c>
      <c r="L692" s="21">
        <v>35172.2222222222</v>
      </c>
      <c r="M692" s="21">
        <v>109</v>
      </c>
      <c r="N692" s="2" t="s">
        <v>79</v>
      </c>
    </row>
    <row r="693" s="2" customFormat="1" spans="1:14">
      <c r="A693" s="20">
        <v>45899</v>
      </c>
      <c r="B693" s="2" t="s">
        <v>86</v>
      </c>
      <c r="C693" s="2" t="s">
        <v>87</v>
      </c>
      <c r="D693" s="2">
        <v>1</v>
      </c>
      <c r="E693" s="2">
        <v>1180</v>
      </c>
      <c r="F693" s="2">
        <v>233</v>
      </c>
      <c r="G693" s="2">
        <v>294248</v>
      </c>
      <c r="H693" s="2">
        <v>4</v>
      </c>
      <c r="I693" s="2" t="s">
        <v>81</v>
      </c>
      <c r="J693" s="3">
        <v>0.197457627118644</v>
      </c>
      <c r="K693" s="21">
        <v>1262.8669527897</v>
      </c>
      <c r="L693" s="21">
        <v>73562</v>
      </c>
      <c r="M693" s="21">
        <v>295</v>
      </c>
      <c r="N693" s="2" t="s">
        <v>80</v>
      </c>
    </row>
    <row r="694" s="2" customFormat="1" spans="1:14">
      <c r="A694" s="20">
        <v>45900</v>
      </c>
      <c r="B694" s="2" t="s">
        <v>86</v>
      </c>
      <c r="C694" s="2" t="s">
        <v>87</v>
      </c>
      <c r="D694" s="2">
        <v>1</v>
      </c>
      <c r="E694" s="2">
        <v>1231</v>
      </c>
      <c r="F694" s="2">
        <v>262</v>
      </c>
      <c r="G694" s="2">
        <v>433894</v>
      </c>
      <c r="H694" s="2">
        <v>7</v>
      </c>
      <c r="I694" s="2" t="s">
        <v>78</v>
      </c>
      <c r="J694" s="3">
        <v>0.212835093419984</v>
      </c>
      <c r="K694" s="21">
        <v>1656.08396946565</v>
      </c>
      <c r="L694" s="21">
        <v>61984.8571428571</v>
      </c>
      <c r="M694" s="21">
        <v>175.857142857143</v>
      </c>
      <c r="N694" s="2" t="s">
        <v>80</v>
      </c>
    </row>
    <row r="695" s="2" customFormat="1" spans="1:14">
      <c r="A695" s="20">
        <v>45901</v>
      </c>
      <c r="B695" s="2" t="s">
        <v>86</v>
      </c>
      <c r="C695" s="2" t="s">
        <v>87</v>
      </c>
      <c r="D695" s="2">
        <v>1</v>
      </c>
      <c r="E695" s="2">
        <v>830</v>
      </c>
      <c r="F695" s="2">
        <v>158</v>
      </c>
      <c r="G695" s="2">
        <v>195626</v>
      </c>
      <c r="H695" s="2">
        <v>7</v>
      </c>
      <c r="I695" s="2" t="s">
        <v>81</v>
      </c>
      <c r="J695" s="3">
        <v>0.190361445783132</v>
      </c>
      <c r="K695" s="21">
        <v>1238.13924050633</v>
      </c>
      <c r="L695" s="21">
        <v>27946.5714285714</v>
      </c>
      <c r="M695" s="21">
        <v>118.571428571429</v>
      </c>
      <c r="N695" s="2" t="s">
        <v>79</v>
      </c>
    </row>
    <row r="696" s="2" customFormat="1" spans="1:14">
      <c r="A696" s="20">
        <v>45902</v>
      </c>
      <c r="B696" s="2" t="s">
        <v>86</v>
      </c>
      <c r="C696" s="2" t="s">
        <v>87</v>
      </c>
      <c r="D696" s="2">
        <v>1</v>
      </c>
      <c r="E696" s="2">
        <v>686</v>
      </c>
      <c r="F696" s="2">
        <v>141</v>
      </c>
      <c r="G696" s="2">
        <v>173564</v>
      </c>
      <c r="H696" s="2">
        <v>6</v>
      </c>
      <c r="I696" s="2" t="s">
        <v>78</v>
      </c>
      <c r="J696" s="3">
        <v>0.205539358600583</v>
      </c>
      <c r="K696" s="21">
        <v>1230.95035460993</v>
      </c>
      <c r="L696" s="21">
        <v>28927.3333333333</v>
      </c>
      <c r="M696" s="21">
        <v>114.333333333333</v>
      </c>
      <c r="N696" s="2" t="s">
        <v>79</v>
      </c>
    </row>
    <row r="697" s="2" customFormat="1" spans="1:14">
      <c r="A697" s="20">
        <v>45903</v>
      </c>
      <c r="B697" s="2" t="s">
        <v>86</v>
      </c>
      <c r="C697" s="2" t="s">
        <v>87</v>
      </c>
      <c r="D697" s="2">
        <v>1</v>
      </c>
      <c r="E697" s="2">
        <v>764</v>
      </c>
      <c r="F697" s="2">
        <v>147</v>
      </c>
      <c r="G697" s="2">
        <v>239854</v>
      </c>
      <c r="H697" s="2">
        <v>4</v>
      </c>
      <c r="I697" s="2" t="s">
        <v>78</v>
      </c>
      <c r="J697" s="3">
        <v>0.192408376963351</v>
      </c>
      <c r="K697" s="21">
        <v>1631.65986394558</v>
      </c>
      <c r="L697" s="21">
        <v>59963.5</v>
      </c>
      <c r="M697" s="21">
        <v>191</v>
      </c>
      <c r="N697" s="2" t="s">
        <v>79</v>
      </c>
    </row>
    <row r="698" s="2" customFormat="1" spans="1:14">
      <c r="A698" s="20">
        <v>45904</v>
      </c>
      <c r="B698" s="2" t="s">
        <v>86</v>
      </c>
      <c r="C698" s="2" t="s">
        <v>87</v>
      </c>
      <c r="D698" s="2">
        <v>1</v>
      </c>
      <c r="E698" s="2">
        <v>843</v>
      </c>
      <c r="F698" s="2">
        <v>155</v>
      </c>
      <c r="G698" s="2">
        <v>179892</v>
      </c>
      <c r="H698" s="2">
        <v>6</v>
      </c>
      <c r="I698" s="2" t="s">
        <v>78</v>
      </c>
      <c r="J698" s="3">
        <v>0.183867141162515</v>
      </c>
      <c r="K698" s="21">
        <v>1160.5935483871</v>
      </c>
      <c r="L698" s="21">
        <v>29982</v>
      </c>
      <c r="M698" s="21">
        <v>140.5</v>
      </c>
      <c r="N698" s="2" t="s">
        <v>79</v>
      </c>
    </row>
    <row r="699" s="2" customFormat="1" spans="1:14">
      <c r="A699" s="20">
        <v>45905</v>
      </c>
      <c r="B699" s="2" t="s">
        <v>86</v>
      </c>
      <c r="C699" s="2" t="s">
        <v>87</v>
      </c>
      <c r="D699" s="2">
        <v>1</v>
      </c>
      <c r="E699" s="2">
        <v>848</v>
      </c>
      <c r="F699" s="2">
        <v>158</v>
      </c>
      <c r="G699" s="2">
        <v>209113</v>
      </c>
      <c r="H699" s="2">
        <v>4</v>
      </c>
      <c r="I699" s="2" t="s">
        <v>78</v>
      </c>
      <c r="J699" s="3">
        <v>0.186320754716981</v>
      </c>
      <c r="K699" s="21">
        <v>1323.5</v>
      </c>
      <c r="L699" s="21">
        <v>52278.25</v>
      </c>
      <c r="M699" s="21">
        <v>212</v>
      </c>
      <c r="N699" s="2" t="s">
        <v>79</v>
      </c>
    </row>
    <row r="700" s="2" customFormat="1" spans="1:14">
      <c r="A700" s="20">
        <v>45906</v>
      </c>
      <c r="B700" s="2" t="s">
        <v>86</v>
      </c>
      <c r="C700" s="2" t="s">
        <v>87</v>
      </c>
      <c r="D700" s="2">
        <v>1</v>
      </c>
      <c r="E700" s="2">
        <v>1323</v>
      </c>
      <c r="F700" s="2">
        <v>284</v>
      </c>
      <c r="G700" s="2">
        <v>406877</v>
      </c>
      <c r="H700" s="2">
        <v>9</v>
      </c>
      <c r="I700" s="2" t="s">
        <v>78</v>
      </c>
      <c r="J700" s="3">
        <v>0.214663643235072</v>
      </c>
      <c r="K700" s="21">
        <v>1432.66549295775</v>
      </c>
      <c r="L700" s="21">
        <v>45208.5555555555</v>
      </c>
      <c r="M700" s="21">
        <v>147</v>
      </c>
      <c r="N700" s="2" t="s">
        <v>80</v>
      </c>
    </row>
    <row r="701" s="2" customFormat="1" spans="1:14">
      <c r="A701" s="20">
        <v>45907</v>
      </c>
      <c r="B701" s="2" t="s">
        <v>86</v>
      </c>
      <c r="C701" s="2" t="s">
        <v>87</v>
      </c>
      <c r="D701" s="2">
        <v>1</v>
      </c>
      <c r="E701" s="2">
        <v>1034</v>
      </c>
      <c r="F701" s="2">
        <v>183</v>
      </c>
      <c r="G701" s="2">
        <v>288368</v>
      </c>
      <c r="H701" s="2">
        <v>5</v>
      </c>
      <c r="I701" s="2" t="s">
        <v>81</v>
      </c>
      <c r="J701" s="3">
        <v>0.176982591876209</v>
      </c>
      <c r="K701" s="21">
        <v>1575.78142076503</v>
      </c>
      <c r="L701" s="21">
        <v>57673.6</v>
      </c>
      <c r="M701" s="21">
        <v>206.8</v>
      </c>
      <c r="N701" s="2" t="s">
        <v>80</v>
      </c>
    </row>
    <row r="702" s="2" customFormat="1" spans="1:14">
      <c r="A702" s="20">
        <v>45908</v>
      </c>
      <c r="B702" s="2" t="s">
        <v>86</v>
      </c>
      <c r="C702" s="2" t="s">
        <v>87</v>
      </c>
      <c r="D702" s="2">
        <v>1</v>
      </c>
      <c r="E702" s="2">
        <v>846</v>
      </c>
      <c r="F702" s="2">
        <v>174</v>
      </c>
      <c r="G702" s="2">
        <v>254551</v>
      </c>
      <c r="H702" s="2">
        <v>8</v>
      </c>
      <c r="I702" s="2" t="s">
        <v>78</v>
      </c>
      <c r="J702" s="3">
        <v>0.205673758865248</v>
      </c>
      <c r="K702" s="21">
        <v>1462.93678160919</v>
      </c>
      <c r="L702" s="21">
        <v>31818.875</v>
      </c>
      <c r="M702" s="21">
        <v>105.75</v>
      </c>
      <c r="N702" s="2" t="s">
        <v>79</v>
      </c>
    </row>
    <row r="703" s="2" customFormat="1" spans="1:14">
      <c r="A703" s="20">
        <v>45909</v>
      </c>
      <c r="B703" s="2" t="s">
        <v>86</v>
      </c>
      <c r="C703" s="2" t="s">
        <v>87</v>
      </c>
      <c r="D703" s="2">
        <v>1</v>
      </c>
      <c r="E703" s="2">
        <v>810</v>
      </c>
      <c r="F703" s="2">
        <v>166</v>
      </c>
      <c r="G703" s="2">
        <v>279944</v>
      </c>
      <c r="H703" s="2">
        <v>5</v>
      </c>
      <c r="I703" s="2" t="s">
        <v>81</v>
      </c>
      <c r="J703" s="3">
        <v>0.204938271604938</v>
      </c>
      <c r="K703" s="21">
        <v>1686.40963855422</v>
      </c>
      <c r="L703" s="21">
        <v>55988.8</v>
      </c>
      <c r="M703" s="21">
        <v>162</v>
      </c>
      <c r="N703" s="2" t="s">
        <v>79</v>
      </c>
    </row>
    <row r="704" s="2" customFormat="1" spans="1:14">
      <c r="A704" s="20">
        <v>45910</v>
      </c>
      <c r="B704" s="2" t="s">
        <v>86</v>
      </c>
      <c r="C704" s="2" t="s">
        <v>87</v>
      </c>
      <c r="D704" s="2">
        <v>1</v>
      </c>
      <c r="E704" s="2">
        <v>912</v>
      </c>
      <c r="F704" s="2">
        <v>171</v>
      </c>
      <c r="G704" s="2">
        <v>277829</v>
      </c>
      <c r="H704" s="2">
        <v>6</v>
      </c>
      <c r="I704" s="2" t="s">
        <v>81</v>
      </c>
      <c r="J704" s="3">
        <v>0.1875</v>
      </c>
      <c r="K704" s="21">
        <v>1624.73099415205</v>
      </c>
      <c r="L704" s="21">
        <v>46304.8333333333</v>
      </c>
      <c r="M704" s="21">
        <v>152</v>
      </c>
      <c r="N704" s="2" t="s">
        <v>79</v>
      </c>
    </row>
    <row r="705" s="2" customFormat="1" spans="1:14">
      <c r="A705" s="20">
        <v>45911</v>
      </c>
      <c r="B705" s="2" t="s">
        <v>86</v>
      </c>
      <c r="C705" s="2" t="s">
        <v>87</v>
      </c>
      <c r="D705" s="2">
        <v>1</v>
      </c>
      <c r="E705" s="2">
        <v>760</v>
      </c>
      <c r="F705" s="2">
        <v>131</v>
      </c>
      <c r="G705" s="2">
        <v>164774</v>
      </c>
      <c r="H705" s="2">
        <v>4</v>
      </c>
      <c r="I705" s="2" t="s">
        <v>78</v>
      </c>
      <c r="J705" s="3">
        <v>0.172368421052632</v>
      </c>
      <c r="K705" s="21">
        <v>1257.81679389313</v>
      </c>
      <c r="L705" s="21">
        <v>41193.5</v>
      </c>
      <c r="M705" s="21">
        <v>190</v>
      </c>
      <c r="N705" s="2" t="s">
        <v>79</v>
      </c>
    </row>
    <row r="706" s="2" customFormat="1" spans="1:14">
      <c r="A706" s="20">
        <v>45912</v>
      </c>
      <c r="B706" s="2" t="s">
        <v>86</v>
      </c>
      <c r="C706" s="2" t="s">
        <v>87</v>
      </c>
      <c r="D706" s="2">
        <v>1</v>
      </c>
      <c r="E706" s="2">
        <v>983</v>
      </c>
      <c r="F706" s="2">
        <v>216</v>
      </c>
      <c r="G706" s="2">
        <v>350209</v>
      </c>
      <c r="H706" s="2">
        <v>7</v>
      </c>
      <c r="I706" s="2" t="s">
        <v>78</v>
      </c>
      <c r="J706" s="3">
        <v>0.219735503560529</v>
      </c>
      <c r="K706" s="21">
        <v>1621.33796296296</v>
      </c>
      <c r="L706" s="21">
        <v>50029.8571428571</v>
      </c>
      <c r="M706" s="21">
        <v>140.428571428571</v>
      </c>
      <c r="N706" s="2" t="s">
        <v>79</v>
      </c>
    </row>
    <row r="707" s="2" customFormat="1" spans="1:14">
      <c r="A707" s="20">
        <v>45913</v>
      </c>
      <c r="B707" s="2" t="s">
        <v>86</v>
      </c>
      <c r="C707" s="2" t="s">
        <v>87</v>
      </c>
      <c r="D707" s="2">
        <v>1</v>
      </c>
      <c r="E707" s="2">
        <v>936</v>
      </c>
      <c r="F707" s="2">
        <v>199</v>
      </c>
      <c r="G707" s="2">
        <v>332744</v>
      </c>
      <c r="H707" s="2">
        <v>8</v>
      </c>
      <c r="I707" s="2" t="s">
        <v>81</v>
      </c>
      <c r="J707" s="3">
        <v>0.212606837606838</v>
      </c>
      <c r="K707" s="21">
        <v>1672.08040201005</v>
      </c>
      <c r="L707" s="21">
        <v>41593</v>
      </c>
      <c r="M707" s="21">
        <v>117</v>
      </c>
      <c r="N707" s="2" t="s">
        <v>80</v>
      </c>
    </row>
    <row r="708" s="2" customFormat="1" spans="1:14">
      <c r="A708" s="20">
        <v>45914</v>
      </c>
      <c r="B708" s="2" t="s">
        <v>86</v>
      </c>
      <c r="C708" s="2" t="s">
        <v>87</v>
      </c>
      <c r="D708" s="2">
        <v>1</v>
      </c>
      <c r="E708" s="2">
        <v>1387</v>
      </c>
      <c r="F708" s="2">
        <v>240</v>
      </c>
      <c r="G708" s="2">
        <v>300013</v>
      </c>
      <c r="H708" s="2">
        <v>4</v>
      </c>
      <c r="I708" s="2" t="s">
        <v>78</v>
      </c>
      <c r="J708" s="3">
        <v>0.173035328046143</v>
      </c>
      <c r="K708" s="21">
        <v>1250.05416666667</v>
      </c>
      <c r="L708" s="21">
        <v>75003.25</v>
      </c>
      <c r="M708" s="21">
        <v>346.75</v>
      </c>
      <c r="N708" s="2" t="s">
        <v>80</v>
      </c>
    </row>
    <row r="709" s="2" customFormat="1" spans="1:14">
      <c r="A709" s="20">
        <v>45915</v>
      </c>
      <c r="B709" s="2" t="s">
        <v>86</v>
      </c>
      <c r="C709" s="2" t="s">
        <v>87</v>
      </c>
      <c r="D709" s="2">
        <v>1</v>
      </c>
      <c r="E709" s="2">
        <v>860</v>
      </c>
      <c r="F709" s="2">
        <v>162</v>
      </c>
      <c r="G709" s="2">
        <v>192512</v>
      </c>
      <c r="H709" s="2">
        <v>6</v>
      </c>
      <c r="I709" s="2" t="s">
        <v>78</v>
      </c>
      <c r="J709" s="3">
        <v>0.188372093023256</v>
      </c>
      <c r="K709" s="21">
        <v>1188.34567901235</v>
      </c>
      <c r="L709" s="21">
        <v>32085.3333333333</v>
      </c>
      <c r="M709" s="21">
        <v>143.333333333333</v>
      </c>
      <c r="N709" s="2" t="s">
        <v>79</v>
      </c>
    </row>
    <row r="710" s="2" customFormat="1" spans="1:14">
      <c r="A710" s="20">
        <v>45916</v>
      </c>
      <c r="B710" s="2" t="s">
        <v>86</v>
      </c>
      <c r="C710" s="2" t="s">
        <v>87</v>
      </c>
      <c r="D710" s="2">
        <v>1</v>
      </c>
      <c r="E710" s="2">
        <v>797</v>
      </c>
      <c r="F710" s="2">
        <v>154</v>
      </c>
      <c r="G710" s="2">
        <v>213789</v>
      </c>
      <c r="H710" s="2">
        <v>8</v>
      </c>
      <c r="I710" s="2" t="s">
        <v>78</v>
      </c>
      <c r="J710" s="3">
        <v>0.193224592220828</v>
      </c>
      <c r="K710" s="21">
        <v>1388.24025974026</v>
      </c>
      <c r="L710" s="21">
        <v>26723.625</v>
      </c>
      <c r="M710" s="21">
        <v>99.625</v>
      </c>
      <c r="N710" s="2" t="s">
        <v>79</v>
      </c>
    </row>
    <row r="711" s="2" customFormat="1" spans="1:14">
      <c r="A711" s="20">
        <v>45917</v>
      </c>
      <c r="B711" s="2" t="s">
        <v>86</v>
      </c>
      <c r="C711" s="2" t="s">
        <v>87</v>
      </c>
      <c r="D711" s="2">
        <v>1</v>
      </c>
      <c r="E711" s="2">
        <v>755</v>
      </c>
      <c r="F711" s="2">
        <v>146</v>
      </c>
      <c r="G711" s="2">
        <v>239610</v>
      </c>
      <c r="H711" s="2">
        <v>9</v>
      </c>
      <c r="I711" s="2" t="s">
        <v>78</v>
      </c>
      <c r="J711" s="3">
        <v>0.193377483443709</v>
      </c>
      <c r="K711" s="21">
        <v>1641.16438356164</v>
      </c>
      <c r="L711" s="21">
        <v>26623.3333333333</v>
      </c>
      <c r="M711" s="21">
        <v>83.8888888888889</v>
      </c>
      <c r="N711" s="2" t="s">
        <v>79</v>
      </c>
    </row>
    <row r="712" s="2" customFormat="1" spans="1:14">
      <c r="A712" s="20">
        <v>45918</v>
      </c>
      <c r="B712" s="2" t="s">
        <v>86</v>
      </c>
      <c r="C712" s="2" t="s">
        <v>87</v>
      </c>
      <c r="D712" s="2">
        <v>1</v>
      </c>
      <c r="E712" s="2">
        <v>751</v>
      </c>
      <c r="F712" s="2">
        <v>157</v>
      </c>
      <c r="G712" s="2">
        <v>202526</v>
      </c>
      <c r="H712" s="2">
        <v>5</v>
      </c>
      <c r="I712" s="2" t="s">
        <v>78</v>
      </c>
      <c r="J712" s="3">
        <v>0.209054593874833</v>
      </c>
      <c r="K712" s="21">
        <v>1289.97452229299</v>
      </c>
      <c r="L712" s="21">
        <v>40505.2</v>
      </c>
      <c r="M712" s="21">
        <v>150.2</v>
      </c>
      <c r="N712" s="2" t="s">
        <v>79</v>
      </c>
    </row>
    <row r="713" s="2" customFormat="1" spans="1:14">
      <c r="A713" s="20">
        <v>45919</v>
      </c>
      <c r="B713" s="2" t="s">
        <v>86</v>
      </c>
      <c r="C713" s="2" t="s">
        <v>87</v>
      </c>
      <c r="D713" s="2">
        <v>1</v>
      </c>
      <c r="E713" s="2">
        <v>823</v>
      </c>
      <c r="F713" s="2">
        <v>145</v>
      </c>
      <c r="G713" s="2">
        <v>169985</v>
      </c>
      <c r="H713" s="2">
        <v>4</v>
      </c>
      <c r="I713" s="2" t="s">
        <v>78</v>
      </c>
      <c r="J713" s="3">
        <v>0.176184690157959</v>
      </c>
      <c r="K713" s="21">
        <v>1172.31034482759</v>
      </c>
      <c r="L713" s="21">
        <v>42496.25</v>
      </c>
      <c r="M713" s="21">
        <v>205.75</v>
      </c>
      <c r="N713" s="2" t="s">
        <v>79</v>
      </c>
    </row>
    <row r="714" s="2" customFormat="1" spans="1:14">
      <c r="A714" s="20">
        <v>45920</v>
      </c>
      <c r="B714" s="2" t="s">
        <v>86</v>
      </c>
      <c r="C714" s="2" t="s">
        <v>87</v>
      </c>
      <c r="D714" s="2">
        <v>1</v>
      </c>
      <c r="E714" s="2">
        <v>1144</v>
      </c>
      <c r="F714" s="2">
        <v>225</v>
      </c>
      <c r="G714" s="2">
        <v>290307</v>
      </c>
      <c r="H714" s="2">
        <v>5</v>
      </c>
      <c r="I714" s="2" t="s">
        <v>78</v>
      </c>
      <c r="J714" s="3">
        <v>0.196678321678322</v>
      </c>
      <c r="K714" s="21">
        <v>1290.25333333333</v>
      </c>
      <c r="L714" s="21">
        <v>58061.4</v>
      </c>
      <c r="M714" s="21">
        <v>228.8</v>
      </c>
      <c r="N714" s="2" t="s">
        <v>80</v>
      </c>
    </row>
    <row r="715" s="2" customFormat="1" spans="1:14">
      <c r="A715" s="20">
        <v>45921</v>
      </c>
      <c r="B715" s="2" t="s">
        <v>86</v>
      </c>
      <c r="C715" s="2" t="s">
        <v>87</v>
      </c>
      <c r="D715" s="2">
        <v>1</v>
      </c>
      <c r="E715" s="2">
        <v>1187</v>
      </c>
      <c r="F715" s="2">
        <v>265</v>
      </c>
      <c r="G715" s="2">
        <v>340283</v>
      </c>
      <c r="H715" s="2">
        <v>8</v>
      </c>
      <c r="I715" s="2" t="s">
        <v>78</v>
      </c>
      <c r="J715" s="3">
        <v>0.223251895534962</v>
      </c>
      <c r="K715" s="21">
        <v>1284.08679245283</v>
      </c>
      <c r="L715" s="21">
        <v>42535.375</v>
      </c>
      <c r="M715" s="21">
        <v>148.375</v>
      </c>
      <c r="N715" s="2" t="s">
        <v>80</v>
      </c>
    </row>
    <row r="716" s="2" customFormat="1" spans="1:14">
      <c r="A716" s="20">
        <v>45922</v>
      </c>
      <c r="B716" s="2" t="s">
        <v>86</v>
      </c>
      <c r="C716" s="2" t="s">
        <v>87</v>
      </c>
      <c r="D716" s="2">
        <v>1</v>
      </c>
      <c r="E716" s="2">
        <v>949</v>
      </c>
      <c r="F716" s="2">
        <v>205</v>
      </c>
      <c r="G716" s="2">
        <v>342073</v>
      </c>
      <c r="H716" s="2">
        <v>6</v>
      </c>
      <c r="I716" s="2" t="s">
        <v>78</v>
      </c>
      <c r="J716" s="3">
        <v>0.216016859852476</v>
      </c>
      <c r="K716" s="21">
        <v>1668.6487804878</v>
      </c>
      <c r="L716" s="21">
        <v>57012.1666666667</v>
      </c>
      <c r="M716" s="21">
        <v>158.166666666667</v>
      </c>
      <c r="N716" s="2" t="s">
        <v>79</v>
      </c>
    </row>
    <row r="717" s="2" customFormat="1" spans="1:14">
      <c r="A717" s="20">
        <v>45923</v>
      </c>
      <c r="B717" s="2" t="s">
        <v>86</v>
      </c>
      <c r="C717" s="2" t="s">
        <v>87</v>
      </c>
      <c r="D717" s="2">
        <v>1</v>
      </c>
      <c r="E717" s="2">
        <v>984</v>
      </c>
      <c r="F717" s="2">
        <v>201</v>
      </c>
      <c r="G717" s="2">
        <v>235807</v>
      </c>
      <c r="H717" s="2">
        <v>8</v>
      </c>
      <c r="I717" s="2" t="s">
        <v>81</v>
      </c>
      <c r="J717" s="3">
        <v>0.204268292682927</v>
      </c>
      <c r="K717" s="21">
        <v>1173.16915422886</v>
      </c>
      <c r="L717" s="21">
        <v>29475.875</v>
      </c>
      <c r="M717" s="21">
        <v>123</v>
      </c>
      <c r="N717" s="2" t="s">
        <v>79</v>
      </c>
    </row>
    <row r="718" s="2" customFormat="1" spans="1:14">
      <c r="A718" s="20">
        <v>45924</v>
      </c>
      <c r="B718" s="2" t="s">
        <v>86</v>
      </c>
      <c r="C718" s="2" t="s">
        <v>87</v>
      </c>
      <c r="D718" s="2">
        <v>1</v>
      </c>
      <c r="E718" s="2">
        <v>860</v>
      </c>
      <c r="F718" s="2">
        <v>157</v>
      </c>
      <c r="G718" s="2">
        <v>225948</v>
      </c>
      <c r="H718" s="2">
        <v>5</v>
      </c>
      <c r="I718" s="2" t="s">
        <v>78</v>
      </c>
      <c r="J718" s="3">
        <v>0.182558139534884</v>
      </c>
      <c r="K718" s="21">
        <v>1439.15923566879</v>
      </c>
      <c r="L718" s="21">
        <v>45189.6</v>
      </c>
      <c r="M718" s="21">
        <v>172</v>
      </c>
      <c r="N718" s="2" t="s">
        <v>79</v>
      </c>
    </row>
    <row r="719" s="2" customFormat="1" spans="1:14">
      <c r="A719" s="20">
        <v>45925</v>
      </c>
      <c r="B719" s="2" t="s">
        <v>86</v>
      </c>
      <c r="C719" s="2" t="s">
        <v>87</v>
      </c>
      <c r="D719" s="2">
        <v>1</v>
      </c>
      <c r="E719" s="2">
        <v>789</v>
      </c>
      <c r="F719" s="2">
        <v>174</v>
      </c>
      <c r="G719" s="2">
        <v>194657</v>
      </c>
      <c r="H719" s="2">
        <v>9</v>
      </c>
      <c r="I719" s="2" t="s">
        <v>81</v>
      </c>
      <c r="J719" s="3">
        <v>0.220532319391635</v>
      </c>
      <c r="K719" s="21">
        <v>1118.7183908046</v>
      </c>
      <c r="L719" s="21">
        <v>21628.5555555556</v>
      </c>
      <c r="M719" s="21">
        <v>87.6666666666667</v>
      </c>
      <c r="N719" s="2" t="s">
        <v>79</v>
      </c>
    </row>
    <row r="720" s="2" customFormat="1" spans="1:14">
      <c r="A720" s="20">
        <v>45926</v>
      </c>
      <c r="B720" s="2" t="s">
        <v>86</v>
      </c>
      <c r="C720" s="2" t="s">
        <v>87</v>
      </c>
      <c r="D720" s="2">
        <v>1</v>
      </c>
      <c r="E720" s="2">
        <v>992</v>
      </c>
      <c r="F720" s="2">
        <v>200</v>
      </c>
      <c r="G720" s="2">
        <v>317175</v>
      </c>
      <c r="H720" s="2">
        <v>6</v>
      </c>
      <c r="I720" s="2" t="s">
        <v>78</v>
      </c>
      <c r="J720" s="3">
        <v>0.201612903225806</v>
      </c>
      <c r="K720" s="21">
        <v>1585.875</v>
      </c>
      <c r="L720" s="21">
        <v>52862.5</v>
      </c>
      <c r="M720" s="21">
        <v>165.333333333333</v>
      </c>
      <c r="N720" s="2" t="s">
        <v>79</v>
      </c>
    </row>
    <row r="721" s="2" customFormat="1" spans="1:14">
      <c r="A721" s="20">
        <v>45927</v>
      </c>
      <c r="B721" s="2" t="s">
        <v>86</v>
      </c>
      <c r="C721" s="2" t="s">
        <v>87</v>
      </c>
      <c r="D721" s="2">
        <v>1</v>
      </c>
      <c r="E721" s="2">
        <v>1150</v>
      </c>
      <c r="F721" s="2">
        <v>239</v>
      </c>
      <c r="G721" s="2">
        <v>352135</v>
      </c>
      <c r="H721" s="2">
        <v>7</v>
      </c>
      <c r="I721" s="2" t="s">
        <v>81</v>
      </c>
      <c r="J721" s="3">
        <v>0.207826086956522</v>
      </c>
      <c r="K721" s="21">
        <v>1473.36820083682</v>
      </c>
      <c r="L721" s="21">
        <v>50305</v>
      </c>
      <c r="M721" s="21">
        <v>164.285714285714</v>
      </c>
      <c r="N721" s="2" t="s">
        <v>80</v>
      </c>
    </row>
    <row r="722" s="2" customFormat="1" spans="1:14">
      <c r="A722" s="20">
        <v>45748</v>
      </c>
      <c r="B722" s="2" t="s">
        <v>88</v>
      </c>
      <c r="C722" s="2" t="s">
        <v>89</v>
      </c>
      <c r="D722" s="2">
        <v>2</v>
      </c>
      <c r="E722" s="2">
        <v>484</v>
      </c>
      <c r="F722" s="2">
        <v>110</v>
      </c>
      <c r="G722" s="2">
        <v>154851</v>
      </c>
      <c r="H722" s="2">
        <v>7</v>
      </c>
      <c r="I722" s="2" t="s">
        <v>78</v>
      </c>
      <c r="J722" s="3">
        <v>0.227272727272727</v>
      </c>
      <c r="K722" s="21">
        <v>1407.73636363636</v>
      </c>
      <c r="L722" s="21">
        <v>22121.5714285714</v>
      </c>
      <c r="M722" s="21">
        <v>69.1428571428571</v>
      </c>
      <c r="N722" s="2" t="s">
        <v>79</v>
      </c>
    </row>
    <row r="723" s="2" customFormat="1" spans="1:14">
      <c r="A723" s="20">
        <v>45749</v>
      </c>
      <c r="B723" s="2" t="s">
        <v>88</v>
      </c>
      <c r="C723" s="2" t="s">
        <v>89</v>
      </c>
      <c r="D723" s="2">
        <v>2</v>
      </c>
      <c r="E723" s="2">
        <v>611</v>
      </c>
      <c r="F723" s="2">
        <v>144</v>
      </c>
      <c r="G723" s="2">
        <v>182670</v>
      </c>
      <c r="H723" s="2">
        <v>7</v>
      </c>
      <c r="I723" s="2" t="s">
        <v>78</v>
      </c>
      <c r="J723" s="3">
        <v>0.235679214402619</v>
      </c>
      <c r="K723" s="21">
        <v>1268.54166666667</v>
      </c>
      <c r="L723" s="21">
        <v>26095.7142857143</v>
      </c>
      <c r="M723" s="21">
        <v>87.2857142857143</v>
      </c>
      <c r="N723" s="2" t="s">
        <v>79</v>
      </c>
    </row>
    <row r="724" s="2" customFormat="1" spans="1:14">
      <c r="A724" s="20">
        <v>45750</v>
      </c>
      <c r="B724" s="2" t="s">
        <v>88</v>
      </c>
      <c r="C724" s="2" t="s">
        <v>89</v>
      </c>
      <c r="D724" s="2">
        <v>2</v>
      </c>
      <c r="E724" s="2">
        <v>568</v>
      </c>
      <c r="F724" s="2">
        <v>156</v>
      </c>
      <c r="G724" s="2">
        <v>174316</v>
      </c>
      <c r="H724" s="2">
        <v>8</v>
      </c>
      <c r="I724" s="2" t="s">
        <v>78</v>
      </c>
      <c r="J724" s="3">
        <v>0.274647887323944</v>
      </c>
      <c r="K724" s="21">
        <v>1117.41025641026</v>
      </c>
      <c r="L724" s="21">
        <v>21789.5</v>
      </c>
      <c r="M724" s="21">
        <v>71</v>
      </c>
      <c r="N724" s="2" t="s">
        <v>79</v>
      </c>
    </row>
    <row r="725" s="2" customFormat="1" spans="1:14">
      <c r="A725" s="20">
        <v>45751</v>
      </c>
      <c r="B725" s="2" t="s">
        <v>88</v>
      </c>
      <c r="C725" s="2" t="s">
        <v>89</v>
      </c>
      <c r="D725" s="2">
        <v>2</v>
      </c>
      <c r="E725" s="2">
        <v>721</v>
      </c>
      <c r="F725" s="2">
        <v>158</v>
      </c>
      <c r="G725" s="2">
        <v>197379</v>
      </c>
      <c r="H725" s="2">
        <v>4</v>
      </c>
      <c r="I725" s="2" t="s">
        <v>78</v>
      </c>
      <c r="J725" s="3">
        <v>0.219140083217753</v>
      </c>
      <c r="K725" s="21">
        <v>1249.23417721519</v>
      </c>
      <c r="L725" s="21">
        <v>49344.75</v>
      </c>
      <c r="M725" s="21">
        <v>180.25</v>
      </c>
      <c r="N725" s="2" t="s">
        <v>79</v>
      </c>
    </row>
    <row r="726" s="2" customFormat="1" spans="1:14">
      <c r="A726" s="20">
        <v>45752</v>
      </c>
      <c r="B726" s="2" t="s">
        <v>88</v>
      </c>
      <c r="C726" s="2" t="s">
        <v>89</v>
      </c>
      <c r="D726" s="2">
        <v>2</v>
      </c>
      <c r="E726" s="2">
        <v>856</v>
      </c>
      <c r="F726" s="2">
        <v>222</v>
      </c>
      <c r="G726" s="2">
        <v>315734</v>
      </c>
      <c r="H726" s="2">
        <v>5</v>
      </c>
      <c r="I726" s="2" t="s">
        <v>81</v>
      </c>
      <c r="J726" s="3">
        <v>0.259345794392523</v>
      </c>
      <c r="K726" s="21">
        <v>1422.22522522522</v>
      </c>
      <c r="L726" s="21">
        <v>63146.8</v>
      </c>
      <c r="M726" s="21">
        <v>171.2</v>
      </c>
      <c r="N726" s="2" t="s">
        <v>80</v>
      </c>
    </row>
    <row r="727" s="2" customFormat="1" spans="1:14">
      <c r="A727" s="20">
        <v>45753</v>
      </c>
      <c r="B727" s="2" t="s">
        <v>88</v>
      </c>
      <c r="C727" s="2" t="s">
        <v>89</v>
      </c>
      <c r="D727" s="2">
        <v>2</v>
      </c>
      <c r="E727" s="2">
        <v>994</v>
      </c>
      <c r="F727" s="2">
        <v>235</v>
      </c>
      <c r="G727" s="2">
        <v>352441</v>
      </c>
      <c r="H727" s="2">
        <v>6</v>
      </c>
      <c r="I727" s="2" t="s">
        <v>78</v>
      </c>
      <c r="J727" s="3">
        <v>0.236418511066398</v>
      </c>
      <c r="K727" s="21">
        <v>1499.74893617021</v>
      </c>
      <c r="L727" s="21">
        <v>58740.1666666667</v>
      </c>
      <c r="M727" s="21">
        <v>165.666666666667</v>
      </c>
      <c r="N727" s="2" t="s">
        <v>80</v>
      </c>
    </row>
    <row r="728" s="2" customFormat="1" spans="1:14">
      <c r="A728" s="20">
        <v>45754</v>
      </c>
      <c r="B728" s="2" t="s">
        <v>88</v>
      </c>
      <c r="C728" s="2" t="s">
        <v>89</v>
      </c>
      <c r="D728" s="2">
        <v>2</v>
      </c>
      <c r="E728" s="2">
        <v>576</v>
      </c>
      <c r="F728" s="2">
        <v>155</v>
      </c>
      <c r="G728" s="2">
        <v>179849</v>
      </c>
      <c r="H728" s="2">
        <v>8</v>
      </c>
      <c r="I728" s="2" t="s">
        <v>78</v>
      </c>
      <c r="J728" s="3">
        <v>0.269097222222222</v>
      </c>
      <c r="K728" s="21">
        <v>1160.31612903226</v>
      </c>
      <c r="L728" s="21">
        <v>22481.125</v>
      </c>
      <c r="M728" s="21">
        <v>72</v>
      </c>
      <c r="N728" s="2" t="s">
        <v>79</v>
      </c>
    </row>
    <row r="729" s="2" customFormat="1" spans="1:14">
      <c r="A729" s="20">
        <v>45755</v>
      </c>
      <c r="B729" s="2" t="s">
        <v>88</v>
      </c>
      <c r="C729" s="2" t="s">
        <v>89</v>
      </c>
      <c r="D729" s="2">
        <v>2</v>
      </c>
      <c r="E729" s="2">
        <v>581</v>
      </c>
      <c r="F729" s="2">
        <v>162</v>
      </c>
      <c r="G729" s="2">
        <v>234652</v>
      </c>
      <c r="H729" s="2">
        <v>9</v>
      </c>
      <c r="I729" s="2" t="s">
        <v>81</v>
      </c>
      <c r="J729" s="3">
        <v>0.278829604130809</v>
      </c>
      <c r="K729" s="21">
        <v>1448.46913580247</v>
      </c>
      <c r="L729" s="21">
        <v>26072.4444444444</v>
      </c>
      <c r="M729" s="21">
        <v>64.5555555555556</v>
      </c>
      <c r="N729" s="2" t="s">
        <v>79</v>
      </c>
    </row>
    <row r="730" s="2" customFormat="1" spans="1:14">
      <c r="A730" s="20">
        <v>45756</v>
      </c>
      <c r="B730" s="2" t="s">
        <v>88</v>
      </c>
      <c r="C730" s="2" t="s">
        <v>89</v>
      </c>
      <c r="D730" s="2">
        <v>2</v>
      </c>
      <c r="E730" s="2">
        <v>608</v>
      </c>
      <c r="F730" s="2">
        <v>146</v>
      </c>
      <c r="G730" s="2">
        <v>235140</v>
      </c>
      <c r="H730" s="2">
        <v>6</v>
      </c>
      <c r="I730" s="2" t="s">
        <v>78</v>
      </c>
      <c r="J730" s="3">
        <v>0.240131578947368</v>
      </c>
      <c r="K730" s="21">
        <v>1610.54794520548</v>
      </c>
      <c r="L730" s="21">
        <v>39190</v>
      </c>
      <c r="M730" s="21">
        <v>101.333333333333</v>
      </c>
      <c r="N730" s="2" t="s">
        <v>79</v>
      </c>
    </row>
    <row r="731" s="2" customFormat="1" spans="1:14">
      <c r="A731" s="20">
        <v>45757</v>
      </c>
      <c r="B731" s="2" t="s">
        <v>88</v>
      </c>
      <c r="C731" s="2" t="s">
        <v>89</v>
      </c>
      <c r="D731" s="2">
        <v>2</v>
      </c>
      <c r="E731" s="2">
        <v>584</v>
      </c>
      <c r="F731" s="2">
        <v>152</v>
      </c>
      <c r="G731" s="2">
        <v>207363</v>
      </c>
      <c r="H731" s="2">
        <v>9</v>
      </c>
      <c r="I731" s="2" t="s">
        <v>78</v>
      </c>
      <c r="J731" s="3">
        <v>0.26027397260274</v>
      </c>
      <c r="K731" s="21">
        <v>1364.2302631579</v>
      </c>
      <c r="L731" s="21">
        <v>23040.3333333333</v>
      </c>
      <c r="M731" s="21">
        <v>64.8888888888889</v>
      </c>
      <c r="N731" s="2" t="s">
        <v>79</v>
      </c>
    </row>
    <row r="732" s="2" customFormat="1" spans="1:14">
      <c r="A732" s="20">
        <v>45758</v>
      </c>
      <c r="B732" s="2" t="s">
        <v>88</v>
      </c>
      <c r="C732" s="2" t="s">
        <v>89</v>
      </c>
      <c r="D732" s="2">
        <v>2</v>
      </c>
      <c r="E732" s="2">
        <v>681</v>
      </c>
      <c r="F732" s="2">
        <v>195</v>
      </c>
      <c r="G732" s="2">
        <v>268074</v>
      </c>
      <c r="H732" s="2">
        <v>9</v>
      </c>
      <c r="I732" s="2" t="s">
        <v>78</v>
      </c>
      <c r="J732" s="3">
        <v>0.286343612334802</v>
      </c>
      <c r="K732" s="21">
        <v>1374.73846153846</v>
      </c>
      <c r="L732" s="21">
        <v>29786</v>
      </c>
      <c r="M732" s="21">
        <v>75.6666666666667</v>
      </c>
      <c r="N732" s="2" t="s">
        <v>79</v>
      </c>
    </row>
    <row r="733" s="2" customFormat="1" spans="1:14">
      <c r="A733" s="20">
        <v>45759</v>
      </c>
      <c r="B733" s="2" t="s">
        <v>88</v>
      </c>
      <c r="C733" s="2" t="s">
        <v>89</v>
      </c>
      <c r="D733" s="2">
        <v>2</v>
      </c>
      <c r="E733" s="2">
        <v>887</v>
      </c>
      <c r="F733" s="2">
        <v>239</v>
      </c>
      <c r="G733" s="2">
        <v>268042</v>
      </c>
      <c r="H733" s="2">
        <v>8</v>
      </c>
      <c r="I733" s="2" t="s">
        <v>78</v>
      </c>
      <c r="J733" s="3">
        <v>0.269447576099211</v>
      </c>
      <c r="K733" s="21">
        <v>1121.51464435146</v>
      </c>
      <c r="L733" s="21">
        <v>33505.25</v>
      </c>
      <c r="M733" s="21">
        <v>110.875</v>
      </c>
      <c r="N733" s="2" t="s">
        <v>80</v>
      </c>
    </row>
    <row r="734" s="2" customFormat="1" spans="1:14">
      <c r="A734" s="20">
        <v>45760</v>
      </c>
      <c r="B734" s="2" t="s">
        <v>88</v>
      </c>
      <c r="C734" s="2" t="s">
        <v>89</v>
      </c>
      <c r="D734" s="2">
        <v>2</v>
      </c>
      <c r="E734" s="2">
        <v>722</v>
      </c>
      <c r="F734" s="2">
        <v>162</v>
      </c>
      <c r="G734" s="2">
        <v>244402</v>
      </c>
      <c r="H734" s="2">
        <v>5</v>
      </c>
      <c r="I734" s="2" t="s">
        <v>78</v>
      </c>
      <c r="J734" s="3">
        <v>0.224376731301939</v>
      </c>
      <c r="K734" s="21">
        <v>1508.65432098765</v>
      </c>
      <c r="L734" s="21">
        <v>48880.4</v>
      </c>
      <c r="M734" s="21">
        <v>144.4</v>
      </c>
      <c r="N734" s="2" t="s">
        <v>80</v>
      </c>
    </row>
    <row r="735" s="2" customFormat="1" spans="1:14">
      <c r="A735" s="20">
        <v>45761</v>
      </c>
      <c r="B735" s="2" t="s">
        <v>88</v>
      </c>
      <c r="C735" s="2" t="s">
        <v>89</v>
      </c>
      <c r="D735" s="2">
        <v>2</v>
      </c>
      <c r="E735" s="2">
        <v>623</v>
      </c>
      <c r="F735" s="2">
        <v>165</v>
      </c>
      <c r="G735" s="2">
        <v>233124</v>
      </c>
      <c r="H735" s="2">
        <v>9</v>
      </c>
      <c r="I735" s="2" t="s">
        <v>78</v>
      </c>
      <c r="J735" s="3">
        <v>0.264847512038523</v>
      </c>
      <c r="K735" s="21">
        <v>1412.87272727273</v>
      </c>
      <c r="L735" s="21">
        <v>25902.6666666667</v>
      </c>
      <c r="M735" s="21">
        <v>69.2222222222222</v>
      </c>
      <c r="N735" s="2" t="s">
        <v>79</v>
      </c>
    </row>
    <row r="736" s="2" customFormat="1" spans="1:14">
      <c r="A736" s="20">
        <v>45762</v>
      </c>
      <c r="B736" s="2" t="s">
        <v>88</v>
      </c>
      <c r="C736" s="2" t="s">
        <v>89</v>
      </c>
      <c r="D736" s="2">
        <v>2</v>
      </c>
      <c r="E736" s="2">
        <v>553</v>
      </c>
      <c r="F736" s="2">
        <v>137</v>
      </c>
      <c r="G736" s="2">
        <v>180472</v>
      </c>
      <c r="H736" s="2">
        <v>5</v>
      </c>
      <c r="I736" s="2" t="s">
        <v>78</v>
      </c>
      <c r="J736" s="3">
        <v>0.247739602169982</v>
      </c>
      <c r="K736" s="21">
        <v>1317.31386861314</v>
      </c>
      <c r="L736" s="21">
        <v>36094.4</v>
      </c>
      <c r="M736" s="21">
        <v>110.6</v>
      </c>
      <c r="N736" s="2" t="s">
        <v>79</v>
      </c>
    </row>
    <row r="737" s="2" customFormat="1" spans="1:14">
      <c r="A737" s="20">
        <v>45763</v>
      </c>
      <c r="B737" s="2" t="s">
        <v>88</v>
      </c>
      <c r="C737" s="2" t="s">
        <v>89</v>
      </c>
      <c r="D737" s="2">
        <v>2</v>
      </c>
      <c r="E737" s="2">
        <v>581</v>
      </c>
      <c r="F737" s="2">
        <v>146</v>
      </c>
      <c r="G737" s="2">
        <v>204134</v>
      </c>
      <c r="H737" s="2">
        <v>7</v>
      </c>
      <c r="I737" s="2" t="s">
        <v>81</v>
      </c>
      <c r="J737" s="3">
        <v>0.251290877796902</v>
      </c>
      <c r="K737" s="21">
        <v>1398.17808219178</v>
      </c>
      <c r="L737" s="21">
        <v>29162</v>
      </c>
      <c r="M737" s="21">
        <v>83</v>
      </c>
      <c r="N737" s="2" t="s">
        <v>79</v>
      </c>
    </row>
    <row r="738" s="2" customFormat="1" spans="1:14">
      <c r="A738" s="20">
        <v>45764</v>
      </c>
      <c r="B738" s="2" t="s">
        <v>88</v>
      </c>
      <c r="C738" s="2" t="s">
        <v>89</v>
      </c>
      <c r="D738" s="2">
        <v>2</v>
      </c>
      <c r="E738" s="2">
        <v>582</v>
      </c>
      <c r="F738" s="2">
        <v>136</v>
      </c>
      <c r="G738" s="2">
        <v>213391</v>
      </c>
      <c r="H738" s="2">
        <v>5</v>
      </c>
      <c r="I738" s="2" t="s">
        <v>78</v>
      </c>
      <c r="J738" s="3">
        <v>0.233676975945017</v>
      </c>
      <c r="K738" s="21">
        <v>1569.05147058823</v>
      </c>
      <c r="L738" s="21">
        <v>42678.2</v>
      </c>
      <c r="M738" s="21">
        <v>116.4</v>
      </c>
      <c r="N738" s="2" t="s">
        <v>79</v>
      </c>
    </row>
    <row r="739" s="2" customFormat="1" spans="1:14">
      <c r="A739" s="20">
        <v>45765</v>
      </c>
      <c r="B739" s="2" t="s">
        <v>88</v>
      </c>
      <c r="C739" s="2" t="s">
        <v>89</v>
      </c>
      <c r="D739" s="2">
        <v>2</v>
      </c>
      <c r="E739" s="2">
        <v>494</v>
      </c>
      <c r="F739" s="2">
        <v>139</v>
      </c>
      <c r="G739" s="2">
        <v>154283</v>
      </c>
      <c r="H739" s="2">
        <v>9</v>
      </c>
      <c r="I739" s="2" t="s">
        <v>78</v>
      </c>
      <c r="J739" s="3">
        <v>0.281376518218623</v>
      </c>
      <c r="K739" s="21">
        <v>1109.94964028777</v>
      </c>
      <c r="L739" s="21">
        <v>17142.5555555556</v>
      </c>
      <c r="M739" s="21">
        <v>54.8888888888889</v>
      </c>
      <c r="N739" s="2" t="s">
        <v>79</v>
      </c>
    </row>
    <row r="740" s="2" customFormat="1" spans="1:14">
      <c r="A740" s="20">
        <v>45766</v>
      </c>
      <c r="B740" s="2" t="s">
        <v>88</v>
      </c>
      <c r="C740" s="2" t="s">
        <v>89</v>
      </c>
      <c r="D740" s="2">
        <v>2</v>
      </c>
      <c r="E740" s="2">
        <v>965</v>
      </c>
      <c r="F740" s="2">
        <v>253</v>
      </c>
      <c r="G740" s="2">
        <v>348709</v>
      </c>
      <c r="H740" s="2">
        <v>9</v>
      </c>
      <c r="I740" s="2" t="s">
        <v>78</v>
      </c>
      <c r="J740" s="3">
        <v>0.262176165803109</v>
      </c>
      <c r="K740" s="21">
        <v>1378.29644268775</v>
      </c>
      <c r="L740" s="21">
        <v>38745.4444444445</v>
      </c>
      <c r="M740" s="21">
        <v>107.222222222222</v>
      </c>
      <c r="N740" s="2" t="s">
        <v>80</v>
      </c>
    </row>
    <row r="741" s="2" customFormat="1" spans="1:14">
      <c r="A741" s="20">
        <v>45767</v>
      </c>
      <c r="B741" s="2" t="s">
        <v>88</v>
      </c>
      <c r="C741" s="2" t="s">
        <v>89</v>
      </c>
      <c r="D741" s="2">
        <v>2</v>
      </c>
      <c r="E741" s="2">
        <v>1062</v>
      </c>
      <c r="F741" s="2">
        <v>283</v>
      </c>
      <c r="G741" s="2">
        <v>452095</v>
      </c>
      <c r="H741" s="2">
        <v>6</v>
      </c>
      <c r="I741" s="2" t="s">
        <v>78</v>
      </c>
      <c r="J741" s="3">
        <v>0.266478342749529</v>
      </c>
      <c r="K741" s="21">
        <v>1597.50883392226</v>
      </c>
      <c r="L741" s="21">
        <v>75349.1666666667</v>
      </c>
      <c r="M741" s="21">
        <v>177</v>
      </c>
      <c r="N741" s="2" t="s">
        <v>80</v>
      </c>
    </row>
    <row r="742" s="2" customFormat="1" spans="1:14">
      <c r="A742" s="20">
        <v>45768</v>
      </c>
      <c r="B742" s="2" t="s">
        <v>88</v>
      </c>
      <c r="C742" s="2" t="s">
        <v>89</v>
      </c>
      <c r="D742" s="2">
        <v>2</v>
      </c>
      <c r="E742" s="2">
        <v>598</v>
      </c>
      <c r="F742" s="2">
        <v>153</v>
      </c>
      <c r="G742" s="2">
        <v>171183</v>
      </c>
      <c r="H742" s="2">
        <v>7</v>
      </c>
      <c r="I742" s="2" t="s">
        <v>78</v>
      </c>
      <c r="J742" s="3">
        <v>0.255852842809364</v>
      </c>
      <c r="K742" s="21">
        <v>1118.8431372549</v>
      </c>
      <c r="L742" s="21">
        <v>24454.7142857143</v>
      </c>
      <c r="M742" s="21">
        <v>85.4285714285714</v>
      </c>
      <c r="N742" s="2" t="s">
        <v>79</v>
      </c>
    </row>
    <row r="743" s="2" customFormat="1" spans="1:14">
      <c r="A743" s="20">
        <v>45769</v>
      </c>
      <c r="B743" s="2" t="s">
        <v>88</v>
      </c>
      <c r="C743" s="2" t="s">
        <v>89</v>
      </c>
      <c r="D743" s="2">
        <v>2</v>
      </c>
      <c r="E743" s="2">
        <v>699</v>
      </c>
      <c r="F743" s="2">
        <v>181</v>
      </c>
      <c r="G743" s="2">
        <v>296430</v>
      </c>
      <c r="H743" s="2">
        <v>4</v>
      </c>
      <c r="I743" s="2" t="s">
        <v>78</v>
      </c>
      <c r="J743" s="3">
        <v>0.258941344778255</v>
      </c>
      <c r="K743" s="21">
        <v>1637.73480662983</v>
      </c>
      <c r="L743" s="21">
        <v>74107.5</v>
      </c>
      <c r="M743" s="21">
        <v>174.75</v>
      </c>
      <c r="N743" s="2" t="s">
        <v>79</v>
      </c>
    </row>
    <row r="744" s="2" customFormat="1" spans="1:14">
      <c r="A744" s="20">
        <v>45770</v>
      </c>
      <c r="B744" s="2" t="s">
        <v>88</v>
      </c>
      <c r="C744" s="2" t="s">
        <v>89</v>
      </c>
      <c r="D744" s="2">
        <v>2</v>
      </c>
      <c r="E744" s="2">
        <v>553</v>
      </c>
      <c r="F744" s="2">
        <v>132</v>
      </c>
      <c r="G744" s="2">
        <v>170637</v>
      </c>
      <c r="H744" s="2">
        <v>5</v>
      </c>
      <c r="I744" s="2" t="s">
        <v>78</v>
      </c>
      <c r="J744" s="3">
        <v>0.23869801084991</v>
      </c>
      <c r="K744" s="21">
        <v>1292.70454545455</v>
      </c>
      <c r="L744" s="21">
        <v>34127.4</v>
      </c>
      <c r="M744" s="21">
        <v>110.6</v>
      </c>
      <c r="N744" s="2" t="s">
        <v>79</v>
      </c>
    </row>
    <row r="745" s="2" customFormat="1" spans="1:14">
      <c r="A745" s="20">
        <v>45771</v>
      </c>
      <c r="B745" s="2" t="s">
        <v>88</v>
      </c>
      <c r="C745" s="2" t="s">
        <v>89</v>
      </c>
      <c r="D745" s="2">
        <v>2</v>
      </c>
      <c r="E745" s="2">
        <v>616</v>
      </c>
      <c r="F745" s="2">
        <v>173</v>
      </c>
      <c r="G745" s="2">
        <v>252988</v>
      </c>
      <c r="H745" s="2">
        <v>9</v>
      </c>
      <c r="I745" s="2" t="s">
        <v>78</v>
      </c>
      <c r="J745" s="3">
        <v>0.280844155844156</v>
      </c>
      <c r="K745" s="21">
        <v>1462.35838150289</v>
      </c>
      <c r="L745" s="21">
        <v>28109.7777777778</v>
      </c>
      <c r="M745" s="21">
        <v>68.4444444444444</v>
      </c>
      <c r="N745" s="2" t="s">
        <v>79</v>
      </c>
    </row>
    <row r="746" s="2" customFormat="1" spans="1:14">
      <c r="A746" s="20">
        <v>45772</v>
      </c>
      <c r="B746" s="2" t="s">
        <v>88</v>
      </c>
      <c r="C746" s="2" t="s">
        <v>89</v>
      </c>
      <c r="D746" s="2">
        <v>2</v>
      </c>
      <c r="E746" s="2">
        <v>495</v>
      </c>
      <c r="F746" s="2">
        <v>124</v>
      </c>
      <c r="G746" s="2">
        <v>181330</v>
      </c>
      <c r="H746" s="2">
        <v>6</v>
      </c>
      <c r="I746" s="2" t="s">
        <v>78</v>
      </c>
      <c r="J746" s="3">
        <v>0.250505050505051</v>
      </c>
      <c r="K746" s="21">
        <v>1462.33870967742</v>
      </c>
      <c r="L746" s="21">
        <v>30221.6666666667</v>
      </c>
      <c r="M746" s="21">
        <v>82.5</v>
      </c>
      <c r="N746" s="2" t="s">
        <v>79</v>
      </c>
    </row>
    <row r="747" s="2" customFormat="1" spans="1:14">
      <c r="A747" s="20">
        <v>45773</v>
      </c>
      <c r="B747" s="2" t="s">
        <v>88</v>
      </c>
      <c r="C747" s="2" t="s">
        <v>89</v>
      </c>
      <c r="D747" s="2">
        <v>2</v>
      </c>
      <c r="E747" s="2">
        <v>874</v>
      </c>
      <c r="F747" s="2">
        <v>233</v>
      </c>
      <c r="G747" s="2">
        <v>269349</v>
      </c>
      <c r="H747" s="2">
        <v>7</v>
      </c>
      <c r="I747" s="2" t="s">
        <v>78</v>
      </c>
      <c r="J747" s="3">
        <v>0.266590389016018</v>
      </c>
      <c r="K747" s="21">
        <v>1156.00429184549</v>
      </c>
      <c r="L747" s="21">
        <v>38478.4285714286</v>
      </c>
      <c r="M747" s="21">
        <v>124.857142857143</v>
      </c>
      <c r="N747" s="2" t="s">
        <v>80</v>
      </c>
    </row>
    <row r="748" s="2" customFormat="1" spans="1:14">
      <c r="A748" s="20">
        <v>45774</v>
      </c>
      <c r="B748" s="2" t="s">
        <v>88</v>
      </c>
      <c r="C748" s="2" t="s">
        <v>89</v>
      </c>
      <c r="D748" s="2">
        <v>2</v>
      </c>
      <c r="E748" s="2">
        <v>852</v>
      </c>
      <c r="F748" s="2">
        <v>229</v>
      </c>
      <c r="G748" s="2">
        <v>285805</v>
      </c>
      <c r="H748" s="2">
        <v>7</v>
      </c>
      <c r="I748" s="2" t="s">
        <v>78</v>
      </c>
      <c r="J748" s="3">
        <v>0.268779342723005</v>
      </c>
      <c r="K748" s="21">
        <v>1248.05676855895</v>
      </c>
      <c r="L748" s="21">
        <v>40829.2857142857</v>
      </c>
      <c r="M748" s="21">
        <v>121.714285714286</v>
      </c>
      <c r="N748" s="2" t="s">
        <v>80</v>
      </c>
    </row>
    <row r="749" s="2" customFormat="1" spans="1:14">
      <c r="A749" s="20">
        <v>45775</v>
      </c>
      <c r="B749" s="2" t="s">
        <v>88</v>
      </c>
      <c r="C749" s="2" t="s">
        <v>89</v>
      </c>
      <c r="D749" s="2">
        <v>2</v>
      </c>
      <c r="E749" s="2">
        <v>641</v>
      </c>
      <c r="F749" s="2">
        <v>174</v>
      </c>
      <c r="G749" s="2">
        <v>217871</v>
      </c>
      <c r="H749" s="2">
        <v>8</v>
      </c>
      <c r="I749" s="2" t="s">
        <v>78</v>
      </c>
      <c r="J749" s="3">
        <v>0.271450858034321</v>
      </c>
      <c r="K749" s="21">
        <v>1252.13218390805</v>
      </c>
      <c r="L749" s="21">
        <v>27233.875</v>
      </c>
      <c r="M749" s="21">
        <v>80.125</v>
      </c>
      <c r="N749" s="2" t="s">
        <v>79</v>
      </c>
    </row>
    <row r="750" s="2" customFormat="1" spans="1:14">
      <c r="A750" s="20">
        <v>45776</v>
      </c>
      <c r="B750" s="2" t="s">
        <v>88</v>
      </c>
      <c r="C750" s="2" t="s">
        <v>89</v>
      </c>
      <c r="D750" s="2">
        <v>2</v>
      </c>
      <c r="E750" s="2">
        <v>561</v>
      </c>
      <c r="F750" s="2">
        <v>133</v>
      </c>
      <c r="G750" s="2">
        <v>165559</v>
      </c>
      <c r="H750" s="2">
        <v>8</v>
      </c>
      <c r="I750" s="2" t="s">
        <v>78</v>
      </c>
      <c r="J750" s="3">
        <v>0.237076648841355</v>
      </c>
      <c r="K750" s="21">
        <v>1244.80451127819</v>
      </c>
      <c r="L750" s="21">
        <v>20694.875</v>
      </c>
      <c r="M750" s="21">
        <v>70.125</v>
      </c>
      <c r="N750" s="2" t="s">
        <v>79</v>
      </c>
    </row>
    <row r="751" s="2" customFormat="1" spans="1:14">
      <c r="A751" s="20">
        <v>45777</v>
      </c>
      <c r="B751" s="2" t="s">
        <v>88</v>
      </c>
      <c r="C751" s="2" t="s">
        <v>89</v>
      </c>
      <c r="D751" s="2">
        <v>2</v>
      </c>
      <c r="E751" s="2">
        <v>649</v>
      </c>
      <c r="F751" s="2">
        <v>163</v>
      </c>
      <c r="G751" s="2">
        <v>237004</v>
      </c>
      <c r="H751" s="2">
        <v>9</v>
      </c>
      <c r="I751" s="2" t="s">
        <v>78</v>
      </c>
      <c r="J751" s="3">
        <v>0.25115562403698</v>
      </c>
      <c r="K751" s="21">
        <v>1454.01226993865</v>
      </c>
      <c r="L751" s="21">
        <v>26333.7777777778</v>
      </c>
      <c r="M751" s="21">
        <v>72.1111111111111</v>
      </c>
      <c r="N751" s="2" t="s">
        <v>79</v>
      </c>
    </row>
    <row r="752" s="2" customFormat="1" spans="1:14">
      <c r="A752" s="20">
        <v>45778</v>
      </c>
      <c r="B752" s="2" t="s">
        <v>88</v>
      </c>
      <c r="C752" s="2" t="s">
        <v>89</v>
      </c>
      <c r="D752" s="2">
        <v>2</v>
      </c>
      <c r="E752" s="2">
        <v>523</v>
      </c>
      <c r="F752" s="2">
        <v>123</v>
      </c>
      <c r="G752" s="2">
        <v>136070</v>
      </c>
      <c r="H752" s="2">
        <v>6</v>
      </c>
      <c r="I752" s="2" t="s">
        <v>78</v>
      </c>
      <c r="J752" s="3">
        <v>0.235181644359465</v>
      </c>
      <c r="K752" s="21">
        <v>1106.26016260163</v>
      </c>
      <c r="L752" s="21">
        <v>22678.3333333333</v>
      </c>
      <c r="M752" s="21">
        <v>87.1666666666667</v>
      </c>
      <c r="N752" s="2" t="s">
        <v>79</v>
      </c>
    </row>
    <row r="753" s="2" customFormat="1" spans="1:14">
      <c r="A753" s="20">
        <v>45779</v>
      </c>
      <c r="B753" s="2" t="s">
        <v>88</v>
      </c>
      <c r="C753" s="2" t="s">
        <v>89</v>
      </c>
      <c r="D753" s="2">
        <v>2</v>
      </c>
      <c r="E753" s="2">
        <v>624</v>
      </c>
      <c r="F753" s="2">
        <v>154</v>
      </c>
      <c r="G753" s="2">
        <v>223831</v>
      </c>
      <c r="H753" s="2">
        <v>7</v>
      </c>
      <c r="I753" s="2" t="s">
        <v>81</v>
      </c>
      <c r="J753" s="3">
        <v>0.246794871794872</v>
      </c>
      <c r="K753" s="21">
        <v>1453.44805194805</v>
      </c>
      <c r="L753" s="21">
        <v>31975.8571428571</v>
      </c>
      <c r="M753" s="21">
        <v>89.1428571428571</v>
      </c>
      <c r="N753" s="2" t="s">
        <v>79</v>
      </c>
    </row>
    <row r="754" s="2" customFormat="1" spans="1:14">
      <c r="A754" s="20">
        <v>45780</v>
      </c>
      <c r="B754" s="2" t="s">
        <v>88</v>
      </c>
      <c r="C754" s="2" t="s">
        <v>89</v>
      </c>
      <c r="D754" s="2">
        <v>2</v>
      </c>
      <c r="E754" s="2">
        <v>985</v>
      </c>
      <c r="F754" s="2">
        <v>260</v>
      </c>
      <c r="G754" s="2">
        <v>343062</v>
      </c>
      <c r="H754" s="2">
        <v>8</v>
      </c>
      <c r="I754" s="2" t="s">
        <v>78</v>
      </c>
      <c r="J754" s="3">
        <v>0.263959390862944</v>
      </c>
      <c r="K754" s="21">
        <v>1319.46923076923</v>
      </c>
      <c r="L754" s="21">
        <v>42882.75</v>
      </c>
      <c r="M754" s="21">
        <v>123.125</v>
      </c>
      <c r="N754" s="2" t="s">
        <v>80</v>
      </c>
    </row>
    <row r="755" s="2" customFormat="1" spans="1:14">
      <c r="A755" s="20">
        <v>45781</v>
      </c>
      <c r="B755" s="2" t="s">
        <v>88</v>
      </c>
      <c r="C755" s="2" t="s">
        <v>89</v>
      </c>
      <c r="D755" s="2">
        <v>2</v>
      </c>
      <c r="E755" s="2">
        <v>904</v>
      </c>
      <c r="F755" s="2">
        <v>214</v>
      </c>
      <c r="G755" s="2">
        <v>278843</v>
      </c>
      <c r="H755" s="2">
        <v>5</v>
      </c>
      <c r="I755" s="2" t="s">
        <v>81</v>
      </c>
      <c r="J755" s="3">
        <v>0.236725663716814</v>
      </c>
      <c r="K755" s="21">
        <v>1303.0046728972</v>
      </c>
      <c r="L755" s="21">
        <v>55768.6</v>
      </c>
      <c r="M755" s="21">
        <v>180.8</v>
      </c>
      <c r="N755" s="2" t="s">
        <v>80</v>
      </c>
    </row>
    <row r="756" s="2" customFormat="1" spans="1:14">
      <c r="A756" s="20">
        <v>45782</v>
      </c>
      <c r="B756" s="2" t="s">
        <v>88</v>
      </c>
      <c r="C756" s="2" t="s">
        <v>89</v>
      </c>
      <c r="D756" s="2">
        <v>2</v>
      </c>
      <c r="E756" s="2">
        <v>654</v>
      </c>
      <c r="F756" s="2">
        <v>153</v>
      </c>
      <c r="G756" s="2">
        <v>203020</v>
      </c>
      <c r="H756" s="2">
        <v>4</v>
      </c>
      <c r="I756" s="2" t="s">
        <v>78</v>
      </c>
      <c r="J756" s="3">
        <v>0.23394495412844</v>
      </c>
      <c r="K756" s="21">
        <v>1326.92810457516</v>
      </c>
      <c r="L756" s="21">
        <v>50755</v>
      </c>
      <c r="M756" s="21">
        <v>163.5</v>
      </c>
      <c r="N756" s="2" t="s">
        <v>79</v>
      </c>
    </row>
    <row r="757" s="2" customFormat="1" spans="1:14">
      <c r="A757" s="20">
        <v>45783</v>
      </c>
      <c r="B757" s="2" t="s">
        <v>88</v>
      </c>
      <c r="C757" s="2" t="s">
        <v>89</v>
      </c>
      <c r="D757" s="2">
        <v>2</v>
      </c>
      <c r="E757" s="2">
        <v>587</v>
      </c>
      <c r="F757" s="2">
        <v>130</v>
      </c>
      <c r="G757" s="2">
        <v>179387</v>
      </c>
      <c r="H757" s="2">
        <v>4</v>
      </c>
      <c r="I757" s="2" t="s">
        <v>78</v>
      </c>
      <c r="J757" s="3">
        <v>0.221465076660988</v>
      </c>
      <c r="K757" s="21">
        <v>1379.9</v>
      </c>
      <c r="L757" s="21">
        <v>44846.75</v>
      </c>
      <c r="M757" s="21">
        <v>146.75</v>
      </c>
      <c r="N757" s="2" t="s">
        <v>79</v>
      </c>
    </row>
    <row r="758" s="2" customFormat="1" spans="1:14">
      <c r="A758" s="20">
        <v>45784</v>
      </c>
      <c r="B758" s="2" t="s">
        <v>88</v>
      </c>
      <c r="C758" s="2" t="s">
        <v>89</v>
      </c>
      <c r="D758" s="2">
        <v>2</v>
      </c>
      <c r="E758" s="2">
        <v>538</v>
      </c>
      <c r="F758" s="2">
        <v>136</v>
      </c>
      <c r="G758" s="2">
        <v>191562</v>
      </c>
      <c r="H758" s="2">
        <v>5</v>
      </c>
      <c r="I758" s="2" t="s">
        <v>78</v>
      </c>
      <c r="J758" s="3">
        <v>0.252788104089219</v>
      </c>
      <c r="K758" s="21">
        <v>1408.54411764706</v>
      </c>
      <c r="L758" s="21">
        <v>38312.4</v>
      </c>
      <c r="M758" s="21">
        <v>107.6</v>
      </c>
      <c r="N758" s="2" t="s">
        <v>79</v>
      </c>
    </row>
    <row r="759" s="2" customFormat="1" spans="1:14">
      <c r="A759" s="20">
        <v>45785</v>
      </c>
      <c r="B759" s="2" t="s">
        <v>88</v>
      </c>
      <c r="C759" s="2" t="s">
        <v>89</v>
      </c>
      <c r="D759" s="2">
        <v>2</v>
      </c>
      <c r="E759" s="2">
        <v>641</v>
      </c>
      <c r="F759" s="2">
        <v>160</v>
      </c>
      <c r="G759" s="2">
        <v>203322</v>
      </c>
      <c r="H759" s="2">
        <v>8</v>
      </c>
      <c r="I759" s="2" t="s">
        <v>78</v>
      </c>
      <c r="J759" s="3">
        <v>0.249609984399376</v>
      </c>
      <c r="K759" s="21">
        <v>1270.7625</v>
      </c>
      <c r="L759" s="21">
        <v>25415.25</v>
      </c>
      <c r="M759" s="21">
        <v>80.125</v>
      </c>
      <c r="N759" s="2" t="s">
        <v>79</v>
      </c>
    </row>
    <row r="760" s="2" customFormat="1" spans="1:14">
      <c r="A760" s="20">
        <v>45786</v>
      </c>
      <c r="B760" s="2" t="s">
        <v>88</v>
      </c>
      <c r="C760" s="2" t="s">
        <v>89</v>
      </c>
      <c r="D760" s="2">
        <v>2</v>
      </c>
      <c r="E760" s="2">
        <v>703</v>
      </c>
      <c r="F760" s="2">
        <v>164</v>
      </c>
      <c r="G760" s="2">
        <v>218823</v>
      </c>
      <c r="H760" s="2">
        <v>5</v>
      </c>
      <c r="I760" s="2" t="s">
        <v>78</v>
      </c>
      <c r="J760" s="3">
        <v>0.233285917496444</v>
      </c>
      <c r="K760" s="21">
        <v>1334.28658536585</v>
      </c>
      <c r="L760" s="21">
        <v>43764.6</v>
      </c>
      <c r="M760" s="21">
        <v>140.6</v>
      </c>
      <c r="N760" s="2" t="s">
        <v>79</v>
      </c>
    </row>
    <row r="761" s="2" customFormat="1" spans="1:14">
      <c r="A761" s="20">
        <v>45787</v>
      </c>
      <c r="B761" s="2" t="s">
        <v>88</v>
      </c>
      <c r="C761" s="2" t="s">
        <v>89</v>
      </c>
      <c r="D761" s="2">
        <v>2</v>
      </c>
      <c r="E761" s="2">
        <v>900</v>
      </c>
      <c r="F761" s="2">
        <v>233</v>
      </c>
      <c r="G761" s="2">
        <v>374035</v>
      </c>
      <c r="H761" s="2">
        <v>6</v>
      </c>
      <c r="I761" s="2" t="s">
        <v>78</v>
      </c>
      <c r="J761" s="3">
        <v>0.258888888888889</v>
      </c>
      <c r="K761" s="21">
        <v>1605.30042918455</v>
      </c>
      <c r="L761" s="21">
        <v>62339.1666666667</v>
      </c>
      <c r="M761" s="21">
        <v>150</v>
      </c>
      <c r="N761" s="2" t="s">
        <v>80</v>
      </c>
    </row>
    <row r="762" s="2" customFormat="1" spans="1:14">
      <c r="A762" s="20">
        <v>45788</v>
      </c>
      <c r="B762" s="2" t="s">
        <v>88</v>
      </c>
      <c r="C762" s="2" t="s">
        <v>89</v>
      </c>
      <c r="D762" s="2">
        <v>2</v>
      </c>
      <c r="E762" s="2">
        <v>967</v>
      </c>
      <c r="F762" s="2">
        <v>260</v>
      </c>
      <c r="G762" s="2">
        <v>391958</v>
      </c>
      <c r="H762" s="2">
        <v>6</v>
      </c>
      <c r="I762" s="2" t="s">
        <v>78</v>
      </c>
      <c r="J762" s="3">
        <v>0.268872802481903</v>
      </c>
      <c r="K762" s="21">
        <v>1507.53076923077</v>
      </c>
      <c r="L762" s="21">
        <v>65326.3333333333</v>
      </c>
      <c r="M762" s="21">
        <v>161.166666666667</v>
      </c>
      <c r="N762" s="2" t="s">
        <v>80</v>
      </c>
    </row>
    <row r="763" s="2" customFormat="1" spans="1:14">
      <c r="A763" s="20">
        <v>45789</v>
      </c>
      <c r="B763" s="2" t="s">
        <v>88</v>
      </c>
      <c r="C763" s="2" t="s">
        <v>89</v>
      </c>
      <c r="D763" s="2">
        <v>2</v>
      </c>
      <c r="E763" s="2">
        <v>541</v>
      </c>
      <c r="F763" s="2">
        <v>139</v>
      </c>
      <c r="G763" s="2">
        <v>164325</v>
      </c>
      <c r="H763" s="2">
        <v>5</v>
      </c>
      <c r="I763" s="2" t="s">
        <v>78</v>
      </c>
      <c r="J763" s="3">
        <v>0.256931608133087</v>
      </c>
      <c r="K763" s="21">
        <v>1182.19424460432</v>
      </c>
      <c r="L763" s="21">
        <v>32865</v>
      </c>
      <c r="M763" s="21">
        <v>108.2</v>
      </c>
      <c r="N763" s="2" t="s">
        <v>79</v>
      </c>
    </row>
    <row r="764" s="2" customFormat="1" spans="1:14">
      <c r="A764" s="20">
        <v>45790</v>
      </c>
      <c r="B764" s="2" t="s">
        <v>88</v>
      </c>
      <c r="C764" s="2" t="s">
        <v>89</v>
      </c>
      <c r="D764" s="2">
        <v>2</v>
      </c>
      <c r="E764" s="2">
        <v>645</v>
      </c>
      <c r="F764" s="2">
        <v>152</v>
      </c>
      <c r="G764" s="2">
        <v>243834</v>
      </c>
      <c r="H764" s="2">
        <v>7</v>
      </c>
      <c r="I764" s="2" t="s">
        <v>78</v>
      </c>
      <c r="J764" s="3">
        <v>0.235658914728682</v>
      </c>
      <c r="K764" s="21">
        <v>1604.17105263158</v>
      </c>
      <c r="L764" s="21">
        <v>34833.4285714286</v>
      </c>
      <c r="M764" s="21">
        <v>92.1428571428571</v>
      </c>
      <c r="N764" s="2" t="s">
        <v>79</v>
      </c>
    </row>
    <row r="765" s="2" customFormat="1" spans="1:14">
      <c r="A765" s="20">
        <v>45791</v>
      </c>
      <c r="B765" s="2" t="s">
        <v>88</v>
      </c>
      <c r="C765" s="2" t="s">
        <v>89</v>
      </c>
      <c r="D765" s="2">
        <v>2</v>
      </c>
      <c r="E765" s="2">
        <v>582</v>
      </c>
      <c r="F765" s="2">
        <v>136</v>
      </c>
      <c r="G765" s="2">
        <v>200040</v>
      </c>
      <c r="H765" s="2">
        <v>7</v>
      </c>
      <c r="I765" s="2" t="s">
        <v>78</v>
      </c>
      <c r="J765" s="3">
        <v>0.233676975945017</v>
      </c>
      <c r="K765" s="21">
        <v>1470.88235294118</v>
      </c>
      <c r="L765" s="21">
        <v>28577.1428571429</v>
      </c>
      <c r="M765" s="21">
        <v>83.1428571428571</v>
      </c>
      <c r="N765" s="2" t="s">
        <v>79</v>
      </c>
    </row>
    <row r="766" s="2" customFormat="1" spans="1:14">
      <c r="A766" s="20">
        <v>45792</v>
      </c>
      <c r="B766" s="2" t="s">
        <v>88</v>
      </c>
      <c r="C766" s="2" t="s">
        <v>89</v>
      </c>
      <c r="D766" s="2">
        <v>2</v>
      </c>
      <c r="E766" s="2">
        <v>531</v>
      </c>
      <c r="F766" s="2">
        <v>127</v>
      </c>
      <c r="G766" s="2">
        <v>161851</v>
      </c>
      <c r="H766" s="2">
        <v>9</v>
      </c>
      <c r="I766" s="2" t="s">
        <v>78</v>
      </c>
      <c r="J766" s="3">
        <v>0.239171374764595</v>
      </c>
      <c r="K766" s="21">
        <v>1274.41732283465</v>
      </c>
      <c r="L766" s="21">
        <v>17983.4444444444</v>
      </c>
      <c r="M766" s="21">
        <v>59</v>
      </c>
      <c r="N766" s="2" t="s">
        <v>79</v>
      </c>
    </row>
    <row r="767" s="2" customFormat="1" spans="1:14">
      <c r="A767" s="20">
        <v>45793</v>
      </c>
      <c r="B767" s="2" t="s">
        <v>88</v>
      </c>
      <c r="C767" s="2" t="s">
        <v>89</v>
      </c>
      <c r="D767" s="2">
        <v>2</v>
      </c>
      <c r="E767" s="2">
        <v>576</v>
      </c>
      <c r="F767" s="2">
        <v>158</v>
      </c>
      <c r="G767" s="2">
        <v>261617</v>
      </c>
      <c r="H767" s="2">
        <v>9</v>
      </c>
      <c r="I767" s="2" t="s">
        <v>78</v>
      </c>
      <c r="J767" s="3">
        <v>0.274305555555556</v>
      </c>
      <c r="K767" s="21">
        <v>1655.80379746835</v>
      </c>
      <c r="L767" s="21">
        <v>29068.5555555556</v>
      </c>
      <c r="M767" s="21">
        <v>64</v>
      </c>
      <c r="N767" s="2" t="s">
        <v>79</v>
      </c>
    </row>
    <row r="768" s="2" customFormat="1" spans="1:14">
      <c r="A768" s="20">
        <v>45794</v>
      </c>
      <c r="B768" s="2" t="s">
        <v>88</v>
      </c>
      <c r="C768" s="2" t="s">
        <v>89</v>
      </c>
      <c r="D768" s="2">
        <v>2</v>
      </c>
      <c r="E768" s="2">
        <v>839</v>
      </c>
      <c r="F768" s="2">
        <v>201</v>
      </c>
      <c r="G768" s="2">
        <v>296412</v>
      </c>
      <c r="H768" s="2">
        <v>4</v>
      </c>
      <c r="I768" s="2" t="s">
        <v>78</v>
      </c>
      <c r="J768" s="3">
        <v>0.239570917759237</v>
      </c>
      <c r="K768" s="21">
        <v>1474.68656716418</v>
      </c>
      <c r="L768" s="21">
        <v>74103</v>
      </c>
      <c r="M768" s="21">
        <v>209.75</v>
      </c>
      <c r="N768" s="2" t="s">
        <v>80</v>
      </c>
    </row>
    <row r="769" s="2" customFormat="1" spans="1:14">
      <c r="A769" s="20">
        <v>45795</v>
      </c>
      <c r="B769" s="2" t="s">
        <v>88</v>
      </c>
      <c r="C769" s="2" t="s">
        <v>89</v>
      </c>
      <c r="D769" s="2">
        <v>2</v>
      </c>
      <c r="E769" s="2">
        <v>860</v>
      </c>
      <c r="F769" s="2">
        <v>224</v>
      </c>
      <c r="G769" s="2">
        <v>321897</v>
      </c>
      <c r="H769" s="2">
        <v>8</v>
      </c>
      <c r="I769" s="2" t="s">
        <v>78</v>
      </c>
      <c r="J769" s="3">
        <v>0.26046511627907</v>
      </c>
      <c r="K769" s="21">
        <v>1437.04017857143</v>
      </c>
      <c r="L769" s="21">
        <v>40237.125</v>
      </c>
      <c r="M769" s="21">
        <v>107.5</v>
      </c>
      <c r="N769" s="2" t="s">
        <v>80</v>
      </c>
    </row>
    <row r="770" s="2" customFormat="1" spans="1:14">
      <c r="A770" s="20">
        <v>45796</v>
      </c>
      <c r="B770" s="2" t="s">
        <v>88</v>
      </c>
      <c r="C770" s="2" t="s">
        <v>89</v>
      </c>
      <c r="D770" s="2">
        <v>2</v>
      </c>
      <c r="E770" s="2">
        <v>538</v>
      </c>
      <c r="F770" s="2">
        <v>140</v>
      </c>
      <c r="G770" s="2">
        <v>189976</v>
      </c>
      <c r="H770" s="2">
        <v>7</v>
      </c>
      <c r="I770" s="2" t="s">
        <v>81</v>
      </c>
      <c r="J770" s="3">
        <v>0.260223048327138</v>
      </c>
      <c r="K770" s="21">
        <v>1356.97142857143</v>
      </c>
      <c r="L770" s="21">
        <v>27139.4285714286</v>
      </c>
      <c r="M770" s="21">
        <v>76.8571428571429</v>
      </c>
      <c r="N770" s="2" t="s">
        <v>79</v>
      </c>
    </row>
    <row r="771" s="2" customFormat="1" spans="1:14">
      <c r="A771" s="20">
        <v>45797</v>
      </c>
      <c r="B771" s="2" t="s">
        <v>88</v>
      </c>
      <c r="C771" s="2" t="s">
        <v>89</v>
      </c>
      <c r="D771" s="2">
        <v>2</v>
      </c>
      <c r="E771" s="2">
        <v>631</v>
      </c>
      <c r="F771" s="2">
        <v>160</v>
      </c>
      <c r="G771" s="2">
        <v>270961</v>
      </c>
      <c r="H771" s="2">
        <v>8</v>
      </c>
      <c r="I771" s="2" t="s">
        <v>78</v>
      </c>
      <c r="J771" s="3">
        <v>0.253565768621236</v>
      </c>
      <c r="K771" s="21">
        <v>1693.50625</v>
      </c>
      <c r="L771" s="21">
        <v>33870.125</v>
      </c>
      <c r="M771" s="21">
        <v>78.875</v>
      </c>
      <c r="N771" s="2" t="s">
        <v>79</v>
      </c>
    </row>
    <row r="772" s="2" customFormat="1" spans="1:14">
      <c r="A772" s="20">
        <v>45798</v>
      </c>
      <c r="B772" s="2" t="s">
        <v>88</v>
      </c>
      <c r="C772" s="2" t="s">
        <v>89</v>
      </c>
      <c r="D772" s="2">
        <v>2</v>
      </c>
      <c r="E772" s="2">
        <v>591</v>
      </c>
      <c r="F772" s="2">
        <v>141</v>
      </c>
      <c r="G772" s="2">
        <v>173360</v>
      </c>
      <c r="H772" s="2">
        <v>9</v>
      </c>
      <c r="I772" s="2" t="s">
        <v>78</v>
      </c>
      <c r="J772" s="3">
        <v>0.238578680203046</v>
      </c>
      <c r="K772" s="21">
        <v>1229.50354609929</v>
      </c>
      <c r="L772" s="21">
        <v>19262.2222222222</v>
      </c>
      <c r="M772" s="21">
        <v>65.6666666666667</v>
      </c>
      <c r="N772" s="2" t="s">
        <v>79</v>
      </c>
    </row>
    <row r="773" s="2" customFormat="1" spans="1:14">
      <c r="A773" s="20">
        <v>45799</v>
      </c>
      <c r="B773" s="2" t="s">
        <v>88</v>
      </c>
      <c r="C773" s="2" t="s">
        <v>89</v>
      </c>
      <c r="D773" s="2">
        <v>2</v>
      </c>
      <c r="E773" s="2">
        <v>489</v>
      </c>
      <c r="F773" s="2">
        <v>122</v>
      </c>
      <c r="G773" s="2">
        <v>134267</v>
      </c>
      <c r="H773" s="2">
        <v>7</v>
      </c>
      <c r="I773" s="2" t="s">
        <v>78</v>
      </c>
      <c r="J773" s="3">
        <v>0.249488752556237</v>
      </c>
      <c r="K773" s="21">
        <v>1100.54918032787</v>
      </c>
      <c r="L773" s="21">
        <v>19181</v>
      </c>
      <c r="M773" s="21">
        <v>69.8571428571429</v>
      </c>
      <c r="N773" s="2" t="s">
        <v>79</v>
      </c>
    </row>
    <row r="774" s="2" customFormat="1" spans="1:14">
      <c r="A774" s="20">
        <v>45800</v>
      </c>
      <c r="B774" s="2" t="s">
        <v>88</v>
      </c>
      <c r="C774" s="2" t="s">
        <v>89</v>
      </c>
      <c r="D774" s="2">
        <v>2</v>
      </c>
      <c r="E774" s="2">
        <v>615</v>
      </c>
      <c r="F774" s="2">
        <v>154</v>
      </c>
      <c r="G774" s="2">
        <v>174836</v>
      </c>
      <c r="H774" s="2">
        <v>8</v>
      </c>
      <c r="I774" s="2" t="s">
        <v>78</v>
      </c>
      <c r="J774" s="3">
        <v>0.250406504065041</v>
      </c>
      <c r="K774" s="21">
        <v>1135.2987012987</v>
      </c>
      <c r="L774" s="21">
        <v>21854.5</v>
      </c>
      <c r="M774" s="21">
        <v>76.875</v>
      </c>
      <c r="N774" s="2" t="s">
        <v>79</v>
      </c>
    </row>
    <row r="775" s="2" customFormat="1" spans="1:14">
      <c r="A775" s="20">
        <v>45801</v>
      </c>
      <c r="B775" s="2" t="s">
        <v>88</v>
      </c>
      <c r="C775" s="2" t="s">
        <v>89</v>
      </c>
      <c r="D775" s="2">
        <v>2</v>
      </c>
      <c r="E775" s="2">
        <v>767</v>
      </c>
      <c r="F775" s="2">
        <v>181</v>
      </c>
      <c r="G775" s="2">
        <v>299100</v>
      </c>
      <c r="H775" s="2">
        <v>6</v>
      </c>
      <c r="I775" s="2" t="s">
        <v>78</v>
      </c>
      <c r="J775" s="3">
        <v>0.235984354628422</v>
      </c>
      <c r="K775" s="21">
        <v>1652.4861878453</v>
      </c>
      <c r="L775" s="21">
        <v>49850</v>
      </c>
      <c r="M775" s="21">
        <v>127.833333333333</v>
      </c>
      <c r="N775" s="2" t="s">
        <v>80</v>
      </c>
    </row>
    <row r="776" s="2" customFormat="1" spans="1:14">
      <c r="A776" s="20">
        <v>45802</v>
      </c>
      <c r="B776" s="2" t="s">
        <v>88</v>
      </c>
      <c r="C776" s="2" t="s">
        <v>89</v>
      </c>
      <c r="D776" s="2">
        <v>2</v>
      </c>
      <c r="E776" s="2">
        <v>943</v>
      </c>
      <c r="F776" s="2">
        <v>223</v>
      </c>
      <c r="G776" s="2">
        <v>320819</v>
      </c>
      <c r="H776" s="2">
        <v>7</v>
      </c>
      <c r="I776" s="2" t="s">
        <v>78</v>
      </c>
      <c r="J776" s="3">
        <v>0.236479321314952</v>
      </c>
      <c r="K776" s="21">
        <v>1438.65022421525</v>
      </c>
      <c r="L776" s="21">
        <v>45831.2857142857</v>
      </c>
      <c r="M776" s="21">
        <v>134.714285714286</v>
      </c>
      <c r="N776" s="2" t="s">
        <v>80</v>
      </c>
    </row>
    <row r="777" s="2" customFormat="1" spans="1:14">
      <c r="A777" s="20">
        <v>45803</v>
      </c>
      <c r="B777" s="2" t="s">
        <v>88</v>
      </c>
      <c r="C777" s="2" t="s">
        <v>89</v>
      </c>
      <c r="D777" s="2">
        <v>2</v>
      </c>
      <c r="E777" s="2">
        <v>592</v>
      </c>
      <c r="F777" s="2">
        <v>165</v>
      </c>
      <c r="G777" s="2">
        <v>228192</v>
      </c>
      <c r="H777" s="2">
        <v>9</v>
      </c>
      <c r="I777" s="2" t="s">
        <v>78</v>
      </c>
      <c r="J777" s="3">
        <v>0.278716216216216</v>
      </c>
      <c r="K777" s="21">
        <v>1382.98181818182</v>
      </c>
      <c r="L777" s="21">
        <v>25354.6666666667</v>
      </c>
      <c r="M777" s="21">
        <v>65.7777777777778</v>
      </c>
      <c r="N777" s="2" t="s">
        <v>79</v>
      </c>
    </row>
    <row r="778" s="2" customFormat="1" spans="1:14">
      <c r="A778" s="20">
        <v>45804</v>
      </c>
      <c r="B778" s="2" t="s">
        <v>88</v>
      </c>
      <c r="C778" s="2" t="s">
        <v>89</v>
      </c>
      <c r="D778" s="2">
        <v>2</v>
      </c>
      <c r="E778" s="2">
        <v>647</v>
      </c>
      <c r="F778" s="2">
        <v>156</v>
      </c>
      <c r="G778" s="2">
        <v>244171</v>
      </c>
      <c r="H778" s="2">
        <v>7</v>
      </c>
      <c r="I778" s="2" t="s">
        <v>78</v>
      </c>
      <c r="J778" s="3">
        <v>0.241112828438949</v>
      </c>
      <c r="K778" s="21">
        <v>1565.19871794872</v>
      </c>
      <c r="L778" s="21">
        <v>34881.5714285714</v>
      </c>
      <c r="M778" s="21">
        <v>92.4285714285714</v>
      </c>
      <c r="N778" s="2" t="s">
        <v>79</v>
      </c>
    </row>
    <row r="779" s="2" customFormat="1" spans="1:14">
      <c r="A779" s="20">
        <v>45805</v>
      </c>
      <c r="B779" s="2" t="s">
        <v>88</v>
      </c>
      <c r="C779" s="2" t="s">
        <v>89</v>
      </c>
      <c r="D779" s="2">
        <v>2</v>
      </c>
      <c r="E779" s="2">
        <v>709</v>
      </c>
      <c r="F779" s="2">
        <v>190</v>
      </c>
      <c r="G779" s="2">
        <v>303318</v>
      </c>
      <c r="H779" s="2">
        <v>7</v>
      </c>
      <c r="I779" s="2" t="s">
        <v>78</v>
      </c>
      <c r="J779" s="3">
        <v>0.267983074753174</v>
      </c>
      <c r="K779" s="21">
        <v>1596.41052631579</v>
      </c>
      <c r="L779" s="21">
        <v>43331.1428571429</v>
      </c>
      <c r="M779" s="21">
        <v>101.285714285714</v>
      </c>
      <c r="N779" s="2" t="s">
        <v>79</v>
      </c>
    </row>
    <row r="780" s="2" customFormat="1" spans="1:14">
      <c r="A780" s="20">
        <v>45806</v>
      </c>
      <c r="B780" s="2" t="s">
        <v>88</v>
      </c>
      <c r="C780" s="2" t="s">
        <v>89</v>
      </c>
      <c r="D780" s="2">
        <v>2</v>
      </c>
      <c r="E780" s="2">
        <v>549</v>
      </c>
      <c r="F780" s="2">
        <v>149</v>
      </c>
      <c r="G780" s="2">
        <v>229935</v>
      </c>
      <c r="H780" s="2">
        <v>7</v>
      </c>
      <c r="I780" s="2" t="s">
        <v>78</v>
      </c>
      <c r="J780" s="3">
        <v>0.271402550091075</v>
      </c>
      <c r="K780" s="21">
        <v>1543.18791946309</v>
      </c>
      <c r="L780" s="21">
        <v>32847.8571428571</v>
      </c>
      <c r="M780" s="21">
        <v>78.4285714285714</v>
      </c>
      <c r="N780" s="2" t="s">
        <v>79</v>
      </c>
    </row>
    <row r="781" s="2" customFormat="1" spans="1:14">
      <c r="A781" s="20">
        <v>45807</v>
      </c>
      <c r="B781" s="2" t="s">
        <v>88</v>
      </c>
      <c r="C781" s="2" t="s">
        <v>89</v>
      </c>
      <c r="D781" s="2">
        <v>2</v>
      </c>
      <c r="E781" s="2">
        <v>733</v>
      </c>
      <c r="F781" s="2">
        <v>182</v>
      </c>
      <c r="G781" s="2">
        <v>291474</v>
      </c>
      <c r="H781" s="2">
        <v>7</v>
      </c>
      <c r="I781" s="2" t="s">
        <v>81</v>
      </c>
      <c r="J781" s="3">
        <v>0.248294679399727</v>
      </c>
      <c r="K781" s="21">
        <v>1601.50549450549</v>
      </c>
      <c r="L781" s="21">
        <v>41639.1428571429</v>
      </c>
      <c r="M781" s="21">
        <v>104.714285714286</v>
      </c>
      <c r="N781" s="2" t="s">
        <v>79</v>
      </c>
    </row>
    <row r="782" s="2" customFormat="1" spans="1:14">
      <c r="A782" s="20">
        <v>45808</v>
      </c>
      <c r="B782" s="2" t="s">
        <v>88</v>
      </c>
      <c r="C782" s="2" t="s">
        <v>89</v>
      </c>
      <c r="D782" s="2">
        <v>2</v>
      </c>
      <c r="E782" s="2">
        <v>789</v>
      </c>
      <c r="F782" s="2">
        <v>198</v>
      </c>
      <c r="G782" s="2">
        <v>284637</v>
      </c>
      <c r="H782" s="2">
        <v>4</v>
      </c>
      <c r="I782" s="2" t="s">
        <v>78</v>
      </c>
      <c r="J782" s="3">
        <v>0.250950570342205</v>
      </c>
      <c r="K782" s="21">
        <v>1437.56060606061</v>
      </c>
      <c r="L782" s="21">
        <v>71159.25</v>
      </c>
      <c r="M782" s="21">
        <v>197.25</v>
      </c>
      <c r="N782" s="2" t="s">
        <v>80</v>
      </c>
    </row>
    <row r="783" s="2" customFormat="1" spans="1:14">
      <c r="A783" s="20">
        <v>45809</v>
      </c>
      <c r="B783" s="2" t="s">
        <v>88</v>
      </c>
      <c r="C783" s="2" t="s">
        <v>89</v>
      </c>
      <c r="D783" s="2">
        <v>2</v>
      </c>
      <c r="E783" s="2">
        <v>824</v>
      </c>
      <c r="F783" s="2">
        <v>198</v>
      </c>
      <c r="G783" s="2">
        <v>286663</v>
      </c>
      <c r="H783" s="2">
        <v>9</v>
      </c>
      <c r="I783" s="2" t="s">
        <v>78</v>
      </c>
      <c r="J783" s="3">
        <v>0.240291262135922</v>
      </c>
      <c r="K783" s="21">
        <v>1447.79292929293</v>
      </c>
      <c r="L783" s="21">
        <v>31851.4444444444</v>
      </c>
      <c r="M783" s="21">
        <v>91.5555555555556</v>
      </c>
      <c r="N783" s="2" t="s">
        <v>80</v>
      </c>
    </row>
    <row r="784" s="2" customFormat="1" spans="1:14">
      <c r="A784" s="20">
        <v>45810</v>
      </c>
      <c r="B784" s="2" t="s">
        <v>88</v>
      </c>
      <c r="C784" s="2" t="s">
        <v>89</v>
      </c>
      <c r="D784" s="2">
        <v>2</v>
      </c>
      <c r="E784" s="2">
        <v>597</v>
      </c>
      <c r="F784" s="2">
        <v>138</v>
      </c>
      <c r="G784" s="2">
        <v>199355</v>
      </c>
      <c r="H784" s="2">
        <v>7</v>
      </c>
      <c r="I784" s="2" t="s">
        <v>78</v>
      </c>
      <c r="J784" s="3">
        <v>0.231155778894472</v>
      </c>
      <c r="K784" s="21">
        <v>1444.60144927536</v>
      </c>
      <c r="L784" s="21">
        <v>28479.2857142857</v>
      </c>
      <c r="M784" s="21">
        <v>85.2857142857143</v>
      </c>
      <c r="N784" s="2" t="s">
        <v>79</v>
      </c>
    </row>
    <row r="785" s="2" customFormat="1" spans="1:14">
      <c r="A785" s="20">
        <v>45811</v>
      </c>
      <c r="B785" s="2" t="s">
        <v>88</v>
      </c>
      <c r="C785" s="2" t="s">
        <v>89</v>
      </c>
      <c r="D785" s="2">
        <v>2</v>
      </c>
      <c r="E785" s="2">
        <v>524</v>
      </c>
      <c r="F785" s="2">
        <v>138</v>
      </c>
      <c r="G785" s="2">
        <v>232022</v>
      </c>
      <c r="H785" s="2">
        <v>5</v>
      </c>
      <c r="I785" s="2" t="s">
        <v>78</v>
      </c>
      <c r="J785" s="3">
        <v>0.263358778625954</v>
      </c>
      <c r="K785" s="21">
        <v>1681.31884057971</v>
      </c>
      <c r="L785" s="21">
        <v>46404.4</v>
      </c>
      <c r="M785" s="21">
        <v>104.8</v>
      </c>
      <c r="N785" s="2" t="s">
        <v>79</v>
      </c>
    </row>
    <row r="786" s="2" customFormat="1" spans="1:14">
      <c r="A786" s="20">
        <v>45812</v>
      </c>
      <c r="B786" s="2" t="s">
        <v>88</v>
      </c>
      <c r="C786" s="2" t="s">
        <v>89</v>
      </c>
      <c r="D786" s="2">
        <v>2</v>
      </c>
      <c r="E786" s="2">
        <v>577</v>
      </c>
      <c r="F786" s="2">
        <v>141</v>
      </c>
      <c r="G786" s="2">
        <v>195741</v>
      </c>
      <c r="H786" s="2">
        <v>6</v>
      </c>
      <c r="I786" s="2" t="s">
        <v>78</v>
      </c>
      <c r="J786" s="3">
        <v>0.244367417677643</v>
      </c>
      <c r="K786" s="21">
        <v>1388.23404255319</v>
      </c>
      <c r="L786" s="21">
        <v>32623.5</v>
      </c>
      <c r="M786" s="21">
        <v>96.1666666666667</v>
      </c>
      <c r="N786" s="2" t="s">
        <v>79</v>
      </c>
    </row>
    <row r="787" s="2" customFormat="1" spans="1:14">
      <c r="A787" s="20">
        <v>45813</v>
      </c>
      <c r="B787" s="2" t="s">
        <v>88</v>
      </c>
      <c r="C787" s="2" t="s">
        <v>89</v>
      </c>
      <c r="D787" s="2">
        <v>2</v>
      </c>
      <c r="E787" s="2">
        <v>570</v>
      </c>
      <c r="F787" s="2">
        <v>153</v>
      </c>
      <c r="G787" s="2">
        <v>213113</v>
      </c>
      <c r="H787" s="2">
        <v>6</v>
      </c>
      <c r="I787" s="2" t="s">
        <v>78</v>
      </c>
      <c r="J787" s="3">
        <v>0.268421052631579</v>
      </c>
      <c r="K787" s="21">
        <v>1392.8954248366</v>
      </c>
      <c r="L787" s="21">
        <v>35518.8333333333</v>
      </c>
      <c r="M787" s="21">
        <v>95</v>
      </c>
      <c r="N787" s="2" t="s">
        <v>79</v>
      </c>
    </row>
    <row r="788" s="2" customFormat="1" spans="1:14">
      <c r="A788" s="20">
        <v>45814</v>
      </c>
      <c r="B788" s="2" t="s">
        <v>88</v>
      </c>
      <c r="C788" s="2" t="s">
        <v>89</v>
      </c>
      <c r="D788" s="2">
        <v>2</v>
      </c>
      <c r="E788" s="2">
        <v>587</v>
      </c>
      <c r="F788" s="2">
        <v>153</v>
      </c>
      <c r="G788" s="2">
        <v>214846</v>
      </c>
      <c r="H788" s="2">
        <v>9</v>
      </c>
      <c r="I788" s="2" t="s">
        <v>78</v>
      </c>
      <c r="J788" s="3">
        <v>0.260647359454855</v>
      </c>
      <c r="K788" s="21">
        <v>1404.22222222222</v>
      </c>
      <c r="L788" s="21">
        <v>23871.7777777778</v>
      </c>
      <c r="M788" s="21">
        <v>65.2222222222222</v>
      </c>
      <c r="N788" s="2" t="s">
        <v>79</v>
      </c>
    </row>
    <row r="789" s="2" customFormat="1" spans="1:14">
      <c r="A789" s="20">
        <v>45815</v>
      </c>
      <c r="B789" s="2" t="s">
        <v>88</v>
      </c>
      <c r="C789" s="2" t="s">
        <v>89</v>
      </c>
      <c r="D789" s="2">
        <v>2</v>
      </c>
      <c r="E789" s="2">
        <v>798</v>
      </c>
      <c r="F789" s="2">
        <v>211</v>
      </c>
      <c r="G789" s="2">
        <v>289786</v>
      </c>
      <c r="H789" s="2">
        <v>5</v>
      </c>
      <c r="I789" s="2" t="s">
        <v>78</v>
      </c>
      <c r="J789" s="3">
        <v>0.264411027568922</v>
      </c>
      <c r="K789" s="21">
        <v>1373.39336492891</v>
      </c>
      <c r="L789" s="21">
        <v>57957.2</v>
      </c>
      <c r="M789" s="21">
        <v>159.6</v>
      </c>
      <c r="N789" s="2" t="s">
        <v>80</v>
      </c>
    </row>
    <row r="790" s="2" customFormat="1" spans="1:14">
      <c r="A790" s="20">
        <v>45816</v>
      </c>
      <c r="B790" s="2" t="s">
        <v>88</v>
      </c>
      <c r="C790" s="2" t="s">
        <v>89</v>
      </c>
      <c r="D790" s="2">
        <v>2</v>
      </c>
      <c r="E790" s="2">
        <v>917</v>
      </c>
      <c r="F790" s="2">
        <v>219</v>
      </c>
      <c r="G790" s="2">
        <v>294039</v>
      </c>
      <c r="H790" s="2">
        <v>8</v>
      </c>
      <c r="I790" s="2" t="s">
        <v>78</v>
      </c>
      <c r="J790" s="3">
        <v>0.238822246455834</v>
      </c>
      <c r="K790" s="21">
        <v>1342.64383561644</v>
      </c>
      <c r="L790" s="21">
        <v>36754.875</v>
      </c>
      <c r="M790" s="21">
        <v>114.625</v>
      </c>
      <c r="N790" s="2" t="s">
        <v>80</v>
      </c>
    </row>
    <row r="791" s="2" customFormat="1" spans="1:14">
      <c r="A791" s="20">
        <v>45817</v>
      </c>
      <c r="B791" s="2" t="s">
        <v>88</v>
      </c>
      <c r="C791" s="2" t="s">
        <v>89</v>
      </c>
      <c r="D791" s="2">
        <v>2</v>
      </c>
      <c r="E791" s="2">
        <v>702</v>
      </c>
      <c r="F791" s="2">
        <v>176</v>
      </c>
      <c r="G791" s="2">
        <v>229430</v>
      </c>
      <c r="H791" s="2">
        <v>9</v>
      </c>
      <c r="I791" s="2" t="s">
        <v>81</v>
      </c>
      <c r="J791" s="3">
        <v>0.250712250712251</v>
      </c>
      <c r="K791" s="21">
        <v>1303.57954545455</v>
      </c>
      <c r="L791" s="21">
        <v>25492.2222222222</v>
      </c>
      <c r="M791" s="21">
        <v>78</v>
      </c>
      <c r="N791" s="2" t="s">
        <v>79</v>
      </c>
    </row>
    <row r="792" s="2" customFormat="1" spans="1:14">
      <c r="A792" s="20">
        <v>45818</v>
      </c>
      <c r="B792" s="2" t="s">
        <v>88</v>
      </c>
      <c r="C792" s="2" t="s">
        <v>89</v>
      </c>
      <c r="D792" s="2">
        <v>2</v>
      </c>
      <c r="E792" s="2">
        <v>533</v>
      </c>
      <c r="F792" s="2">
        <v>129</v>
      </c>
      <c r="G792" s="2">
        <v>188178</v>
      </c>
      <c r="H792" s="2">
        <v>4</v>
      </c>
      <c r="I792" s="2" t="s">
        <v>78</v>
      </c>
      <c r="J792" s="3">
        <v>0.24202626641651</v>
      </c>
      <c r="K792" s="21">
        <v>1458.74418604651</v>
      </c>
      <c r="L792" s="21">
        <v>47044.5</v>
      </c>
      <c r="M792" s="21">
        <v>133.25</v>
      </c>
      <c r="N792" s="2" t="s">
        <v>79</v>
      </c>
    </row>
    <row r="793" s="2" customFormat="1" spans="1:14">
      <c r="A793" s="20">
        <v>45819</v>
      </c>
      <c r="B793" s="2" t="s">
        <v>88</v>
      </c>
      <c r="C793" s="2" t="s">
        <v>89</v>
      </c>
      <c r="D793" s="2">
        <v>2</v>
      </c>
      <c r="E793" s="2">
        <v>463</v>
      </c>
      <c r="F793" s="2">
        <v>131</v>
      </c>
      <c r="G793" s="2">
        <v>195708</v>
      </c>
      <c r="H793" s="2">
        <v>9</v>
      </c>
      <c r="I793" s="2" t="s">
        <v>78</v>
      </c>
      <c r="J793" s="3">
        <v>0.282937365010799</v>
      </c>
      <c r="K793" s="21">
        <v>1493.95419847328</v>
      </c>
      <c r="L793" s="21">
        <v>21745.3333333333</v>
      </c>
      <c r="M793" s="21">
        <v>51.4444444444444</v>
      </c>
      <c r="N793" s="2" t="s">
        <v>79</v>
      </c>
    </row>
    <row r="794" s="2" customFormat="1" spans="1:14">
      <c r="A794" s="20">
        <v>45820</v>
      </c>
      <c r="B794" s="2" t="s">
        <v>88</v>
      </c>
      <c r="C794" s="2" t="s">
        <v>89</v>
      </c>
      <c r="D794" s="2">
        <v>2</v>
      </c>
      <c r="E794" s="2">
        <v>541</v>
      </c>
      <c r="F794" s="2">
        <v>134</v>
      </c>
      <c r="G794" s="2">
        <v>153297</v>
      </c>
      <c r="H794" s="2">
        <v>8</v>
      </c>
      <c r="I794" s="2" t="s">
        <v>78</v>
      </c>
      <c r="J794" s="3">
        <v>0.247689463955638</v>
      </c>
      <c r="K794" s="21">
        <v>1144.00746268657</v>
      </c>
      <c r="L794" s="21">
        <v>19162.125</v>
      </c>
      <c r="M794" s="21">
        <v>67.625</v>
      </c>
      <c r="N794" s="2" t="s">
        <v>79</v>
      </c>
    </row>
    <row r="795" s="2" customFormat="1" spans="1:14">
      <c r="A795" s="20">
        <v>45821</v>
      </c>
      <c r="B795" s="2" t="s">
        <v>88</v>
      </c>
      <c r="C795" s="2" t="s">
        <v>89</v>
      </c>
      <c r="D795" s="2">
        <v>2</v>
      </c>
      <c r="E795" s="2">
        <v>450</v>
      </c>
      <c r="F795" s="2">
        <v>108</v>
      </c>
      <c r="G795" s="2">
        <v>153686</v>
      </c>
      <c r="H795" s="2">
        <v>5</v>
      </c>
      <c r="I795" s="2" t="s">
        <v>78</v>
      </c>
      <c r="J795" s="3">
        <v>0.24</v>
      </c>
      <c r="K795" s="21">
        <v>1423.01851851852</v>
      </c>
      <c r="L795" s="21">
        <v>30737.2</v>
      </c>
      <c r="M795" s="21">
        <v>90</v>
      </c>
      <c r="N795" s="2" t="s">
        <v>79</v>
      </c>
    </row>
    <row r="796" s="2" customFormat="1" spans="1:14">
      <c r="A796" s="20">
        <v>45822</v>
      </c>
      <c r="B796" s="2" t="s">
        <v>88</v>
      </c>
      <c r="C796" s="2" t="s">
        <v>89</v>
      </c>
      <c r="D796" s="2">
        <v>2</v>
      </c>
      <c r="E796" s="2">
        <v>939</v>
      </c>
      <c r="F796" s="2">
        <v>237</v>
      </c>
      <c r="G796" s="2">
        <v>322759</v>
      </c>
      <c r="H796" s="2">
        <v>6</v>
      </c>
      <c r="I796" s="2" t="s">
        <v>78</v>
      </c>
      <c r="J796" s="3">
        <v>0.252396166134185</v>
      </c>
      <c r="K796" s="21">
        <v>1361.8523206751</v>
      </c>
      <c r="L796" s="21">
        <v>53793.1666666667</v>
      </c>
      <c r="M796" s="21">
        <v>156.5</v>
      </c>
      <c r="N796" s="2" t="s">
        <v>80</v>
      </c>
    </row>
    <row r="797" s="2" customFormat="1" spans="1:14">
      <c r="A797" s="20">
        <v>45823</v>
      </c>
      <c r="B797" s="2" t="s">
        <v>88</v>
      </c>
      <c r="C797" s="2" t="s">
        <v>89</v>
      </c>
      <c r="D797" s="2">
        <v>2</v>
      </c>
      <c r="E797" s="2">
        <v>993</v>
      </c>
      <c r="F797" s="2">
        <v>252</v>
      </c>
      <c r="G797" s="2">
        <v>387777</v>
      </c>
      <c r="H797" s="2">
        <v>7</v>
      </c>
      <c r="I797" s="2" t="s">
        <v>78</v>
      </c>
      <c r="J797" s="3">
        <v>0.253776435045317</v>
      </c>
      <c r="K797" s="21">
        <v>1538.79761904762</v>
      </c>
      <c r="L797" s="21">
        <v>55396.7142857143</v>
      </c>
      <c r="M797" s="21">
        <v>141.857142857143</v>
      </c>
      <c r="N797" s="2" t="s">
        <v>80</v>
      </c>
    </row>
    <row r="798" s="2" customFormat="1" spans="1:14">
      <c r="A798" s="20">
        <v>45824</v>
      </c>
      <c r="B798" s="2" t="s">
        <v>88</v>
      </c>
      <c r="C798" s="2" t="s">
        <v>89</v>
      </c>
      <c r="D798" s="2">
        <v>2</v>
      </c>
      <c r="E798" s="2">
        <v>565</v>
      </c>
      <c r="F798" s="2">
        <v>138</v>
      </c>
      <c r="G798" s="2">
        <v>189424</v>
      </c>
      <c r="H798" s="2">
        <v>8</v>
      </c>
      <c r="I798" s="2" t="s">
        <v>78</v>
      </c>
      <c r="J798" s="3">
        <v>0.244247787610619</v>
      </c>
      <c r="K798" s="21">
        <v>1372.63768115942</v>
      </c>
      <c r="L798" s="21">
        <v>23678</v>
      </c>
      <c r="M798" s="21">
        <v>70.625</v>
      </c>
      <c r="N798" s="2" t="s">
        <v>79</v>
      </c>
    </row>
    <row r="799" s="2" customFormat="1" spans="1:14">
      <c r="A799" s="20">
        <v>45825</v>
      </c>
      <c r="B799" s="2" t="s">
        <v>88</v>
      </c>
      <c r="C799" s="2" t="s">
        <v>89</v>
      </c>
      <c r="D799" s="2">
        <v>2</v>
      </c>
      <c r="E799" s="2">
        <v>708</v>
      </c>
      <c r="F799" s="2">
        <v>189</v>
      </c>
      <c r="G799" s="2">
        <v>273644</v>
      </c>
      <c r="H799" s="2">
        <v>9</v>
      </c>
      <c r="I799" s="2" t="s">
        <v>81</v>
      </c>
      <c r="J799" s="3">
        <v>0.266949152542373</v>
      </c>
      <c r="K799" s="21">
        <v>1447.85185185185</v>
      </c>
      <c r="L799" s="21">
        <v>30404.8888888889</v>
      </c>
      <c r="M799" s="21">
        <v>78.6666666666667</v>
      </c>
      <c r="N799" s="2" t="s">
        <v>79</v>
      </c>
    </row>
    <row r="800" s="2" customFormat="1" spans="1:14">
      <c r="A800" s="20">
        <v>45826</v>
      </c>
      <c r="B800" s="2" t="s">
        <v>88</v>
      </c>
      <c r="C800" s="2" t="s">
        <v>89</v>
      </c>
      <c r="D800" s="2">
        <v>2</v>
      </c>
      <c r="E800" s="2">
        <v>560</v>
      </c>
      <c r="F800" s="2">
        <v>143</v>
      </c>
      <c r="G800" s="2">
        <v>164281</v>
      </c>
      <c r="H800" s="2">
        <v>4</v>
      </c>
      <c r="I800" s="2" t="s">
        <v>81</v>
      </c>
      <c r="J800" s="3">
        <v>0.255357142857143</v>
      </c>
      <c r="K800" s="21">
        <v>1148.81818181818</v>
      </c>
      <c r="L800" s="21">
        <v>41070.25</v>
      </c>
      <c r="M800" s="21">
        <v>140</v>
      </c>
      <c r="N800" s="2" t="s">
        <v>79</v>
      </c>
    </row>
    <row r="801" s="2" customFormat="1" spans="1:14">
      <c r="A801" s="20">
        <v>45827</v>
      </c>
      <c r="B801" s="2" t="s">
        <v>88</v>
      </c>
      <c r="C801" s="2" t="s">
        <v>89</v>
      </c>
      <c r="D801" s="2">
        <v>2</v>
      </c>
      <c r="E801" s="2">
        <v>507</v>
      </c>
      <c r="F801" s="2">
        <v>143</v>
      </c>
      <c r="G801" s="2">
        <v>159875</v>
      </c>
      <c r="H801" s="2">
        <v>9</v>
      </c>
      <c r="I801" s="2" t="s">
        <v>78</v>
      </c>
      <c r="J801" s="3">
        <v>0.282051282051282</v>
      </c>
      <c r="K801" s="21">
        <v>1118.00699300699</v>
      </c>
      <c r="L801" s="21">
        <v>17763.8888888889</v>
      </c>
      <c r="M801" s="21">
        <v>56.3333333333333</v>
      </c>
      <c r="N801" s="2" t="s">
        <v>79</v>
      </c>
    </row>
    <row r="802" s="2" customFormat="1" spans="1:14">
      <c r="A802" s="20">
        <v>45828</v>
      </c>
      <c r="B802" s="2" t="s">
        <v>88</v>
      </c>
      <c r="C802" s="2" t="s">
        <v>89</v>
      </c>
      <c r="D802" s="2">
        <v>2</v>
      </c>
      <c r="E802" s="2">
        <v>543</v>
      </c>
      <c r="F802" s="2">
        <v>133</v>
      </c>
      <c r="G802" s="2">
        <v>170380</v>
      </c>
      <c r="H802" s="2">
        <v>9</v>
      </c>
      <c r="I802" s="2" t="s">
        <v>78</v>
      </c>
      <c r="J802" s="3">
        <v>0.244935543278085</v>
      </c>
      <c r="K802" s="21">
        <v>1281.05263157895</v>
      </c>
      <c r="L802" s="21">
        <v>18931.1111111111</v>
      </c>
      <c r="M802" s="21">
        <v>60.3333333333333</v>
      </c>
      <c r="N802" s="2" t="s">
        <v>79</v>
      </c>
    </row>
    <row r="803" s="2" customFormat="1" spans="1:14">
      <c r="A803" s="20">
        <v>45829</v>
      </c>
      <c r="B803" s="2" t="s">
        <v>88</v>
      </c>
      <c r="C803" s="2" t="s">
        <v>89</v>
      </c>
      <c r="D803" s="2">
        <v>2</v>
      </c>
      <c r="E803" s="2">
        <v>785</v>
      </c>
      <c r="F803" s="2">
        <v>188</v>
      </c>
      <c r="G803" s="2">
        <v>264530</v>
      </c>
      <c r="H803" s="2">
        <v>6</v>
      </c>
      <c r="I803" s="2" t="s">
        <v>78</v>
      </c>
      <c r="J803" s="3">
        <v>0.239490445859873</v>
      </c>
      <c r="K803" s="21">
        <v>1407.07446808511</v>
      </c>
      <c r="L803" s="21">
        <v>44088.3333333333</v>
      </c>
      <c r="M803" s="21">
        <v>130.833333333333</v>
      </c>
      <c r="N803" s="2" t="s">
        <v>80</v>
      </c>
    </row>
    <row r="804" s="2" customFormat="1" spans="1:14">
      <c r="A804" s="20">
        <v>45830</v>
      </c>
      <c r="B804" s="2" t="s">
        <v>88</v>
      </c>
      <c r="C804" s="2" t="s">
        <v>89</v>
      </c>
      <c r="D804" s="2">
        <v>2</v>
      </c>
      <c r="E804" s="2">
        <v>911</v>
      </c>
      <c r="F804" s="2">
        <v>234</v>
      </c>
      <c r="G804" s="2">
        <v>327856</v>
      </c>
      <c r="H804" s="2">
        <v>5</v>
      </c>
      <c r="I804" s="2" t="s">
        <v>78</v>
      </c>
      <c r="J804" s="3">
        <v>0.256860592755214</v>
      </c>
      <c r="K804" s="21">
        <v>1401.09401709402</v>
      </c>
      <c r="L804" s="21">
        <v>65571.2</v>
      </c>
      <c r="M804" s="21">
        <v>182.2</v>
      </c>
      <c r="N804" s="2" t="s">
        <v>80</v>
      </c>
    </row>
    <row r="805" s="2" customFormat="1" spans="1:14">
      <c r="A805" s="20">
        <v>45831</v>
      </c>
      <c r="B805" s="2" t="s">
        <v>88</v>
      </c>
      <c r="C805" s="2" t="s">
        <v>89</v>
      </c>
      <c r="D805" s="2">
        <v>2</v>
      </c>
      <c r="E805" s="2">
        <v>562</v>
      </c>
      <c r="F805" s="2">
        <v>147</v>
      </c>
      <c r="G805" s="2">
        <v>231602</v>
      </c>
      <c r="H805" s="2">
        <v>5</v>
      </c>
      <c r="I805" s="2" t="s">
        <v>78</v>
      </c>
      <c r="J805" s="3">
        <v>0.261565836298932</v>
      </c>
      <c r="K805" s="21">
        <v>1575.52380952381</v>
      </c>
      <c r="L805" s="21">
        <v>46320.4</v>
      </c>
      <c r="M805" s="21">
        <v>112.4</v>
      </c>
      <c r="N805" s="2" t="s">
        <v>79</v>
      </c>
    </row>
    <row r="806" s="2" customFormat="1" spans="1:14">
      <c r="A806" s="20">
        <v>45832</v>
      </c>
      <c r="B806" s="2" t="s">
        <v>88</v>
      </c>
      <c r="C806" s="2" t="s">
        <v>89</v>
      </c>
      <c r="D806" s="2">
        <v>2</v>
      </c>
      <c r="E806" s="2">
        <v>543</v>
      </c>
      <c r="F806" s="2">
        <v>152</v>
      </c>
      <c r="G806" s="2">
        <v>201626</v>
      </c>
      <c r="H806" s="2">
        <v>8</v>
      </c>
      <c r="I806" s="2" t="s">
        <v>81</v>
      </c>
      <c r="J806" s="3">
        <v>0.279926335174954</v>
      </c>
      <c r="K806" s="21">
        <v>1326.48684210526</v>
      </c>
      <c r="L806" s="21">
        <v>25203.25</v>
      </c>
      <c r="M806" s="21">
        <v>67.875</v>
      </c>
      <c r="N806" s="2" t="s">
        <v>79</v>
      </c>
    </row>
    <row r="807" s="2" customFormat="1" spans="1:14">
      <c r="A807" s="20">
        <v>45833</v>
      </c>
      <c r="B807" s="2" t="s">
        <v>88</v>
      </c>
      <c r="C807" s="2" t="s">
        <v>89</v>
      </c>
      <c r="D807" s="2">
        <v>2</v>
      </c>
      <c r="E807" s="2">
        <v>598</v>
      </c>
      <c r="F807" s="2">
        <v>150</v>
      </c>
      <c r="G807" s="2">
        <v>178673</v>
      </c>
      <c r="H807" s="2">
        <v>8</v>
      </c>
      <c r="I807" s="2" t="s">
        <v>78</v>
      </c>
      <c r="J807" s="3">
        <v>0.250836120401338</v>
      </c>
      <c r="K807" s="21">
        <v>1191.15333333333</v>
      </c>
      <c r="L807" s="21">
        <v>22334.125</v>
      </c>
      <c r="M807" s="21">
        <v>74.75</v>
      </c>
      <c r="N807" s="2" t="s">
        <v>79</v>
      </c>
    </row>
    <row r="808" s="2" customFormat="1" spans="1:14">
      <c r="A808" s="20">
        <v>45834</v>
      </c>
      <c r="B808" s="2" t="s">
        <v>88</v>
      </c>
      <c r="C808" s="2" t="s">
        <v>89</v>
      </c>
      <c r="D808" s="2">
        <v>2</v>
      </c>
      <c r="E808" s="2">
        <v>624</v>
      </c>
      <c r="F808" s="2">
        <v>150</v>
      </c>
      <c r="G808" s="2">
        <v>242778</v>
      </c>
      <c r="H808" s="2">
        <v>9</v>
      </c>
      <c r="I808" s="2" t="s">
        <v>81</v>
      </c>
      <c r="J808" s="3">
        <v>0.240384615384615</v>
      </c>
      <c r="K808" s="21">
        <v>1618.52</v>
      </c>
      <c r="L808" s="21">
        <v>26975.3333333333</v>
      </c>
      <c r="M808" s="21">
        <v>69.3333333333333</v>
      </c>
      <c r="N808" s="2" t="s">
        <v>79</v>
      </c>
    </row>
    <row r="809" s="2" customFormat="1" spans="1:14">
      <c r="A809" s="20">
        <v>45835</v>
      </c>
      <c r="B809" s="2" t="s">
        <v>88</v>
      </c>
      <c r="C809" s="2" t="s">
        <v>89</v>
      </c>
      <c r="D809" s="2">
        <v>2</v>
      </c>
      <c r="E809" s="2">
        <v>771</v>
      </c>
      <c r="F809" s="2">
        <v>204</v>
      </c>
      <c r="G809" s="2">
        <v>332115</v>
      </c>
      <c r="H809" s="2">
        <v>7</v>
      </c>
      <c r="I809" s="2" t="s">
        <v>81</v>
      </c>
      <c r="J809" s="3">
        <v>0.264591439688716</v>
      </c>
      <c r="K809" s="21">
        <v>1628.01470588235</v>
      </c>
      <c r="L809" s="21">
        <v>47445</v>
      </c>
      <c r="M809" s="21">
        <v>110.142857142857</v>
      </c>
      <c r="N809" s="2" t="s">
        <v>79</v>
      </c>
    </row>
    <row r="810" s="2" customFormat="1" spans="1:14">
      <c r="A810" s="20">
        <v>45836</v>
      </c>
      <c r="B810" s="2" t="s">
        <v>88</v>
      </c>
      <c r="C810" s="2" t="s">
        <v>89</v>
      </c>
      <c r="D810" s="2">
        <v>2</v>
      </c>
      <c r="E810" s="2">
        <v>919</v>
      </c>
      <c r="F810" s="2">
        <v>231</v>
      </c>
      <c r="G810" s="2">
        <v>326915</v>
      </c>
      <c r="H810" s="2">
        <v>4</v>
      </c>
      <c r="I810" s="2" t="s">
        <v>78</v>
      </c>
      <c r="J810" s="3">
        <v>0.251360174102285</v>
      </c>
      <c r="K810" s="21">
        <v>1415.21645021645</v>
      </c>
      <c r="L810" s="21">
        <v>81728.75</v>
      </c>
      <c r="M810" s="21">
        <v>229.75</v>
      </c>
      <c r="N810" s="2" t="s">
        <v>80</v>
      </c>
    </row>
    <row r="811" s="2" customFormat="1" spans="1:14">
      <c r="A811" s="20">
        <v>45837</v>
      </c>
      <c r="B811" s="2" t="s">
        <v>88</v>
      </c>
      <c r="C811" s="2" t="s">
        <v>89</v>
      </c>
      <c r="D811" s="2">
        <v>2</v>
      </c>
      <c r="E811" s="2">
        <v>932</v>
      </c>
      <c r="F811" s="2">
        <v>225</v>
      </c>
      <c r="G811" s="2">
        <v>378115</v>
      </c>
      <c r="H811" s="2">
        <v>5</v>
      </c>
      <c r="I811" s="2" t="s">
        <v>78</v>
      </c>
      <c r="J811" s="3">
        <v>0.241416309012876</v>
      </c>
      <c r="K811" s="21">
        <v>1680.51111111111</v>
      </c>
      <c r="L811" s="21">
        <v>75623</v>
      </c>
      <c r="M811" s="21">
        <v>186.4</v>
      </c>
      <c r="N811" s="2" t="s">
        <v>80</v>
      </c>
    </row>
    <row r="812" s="2" customFormat="1" spans="1:14">
      <c r="A812" s="20">
        <v>45838</v>
      </c>
      <c r="B812" s="2" t="s">
        <v>88</v>
      </c>
      <c r="C812" s="2" t="s">
        <v>89</v>
      </c>
      <c r="D812" s="2">
        <v>2</v>
      </c>
      <c r="E812" s="2">
        <v>630</v>
      </c>
      <c r="F812" s="2">
        <v>168</v>
      </c>
      <c r="G812" s="2">
        <v>206606</v>
      </c>
      <c r="H812" s="2">
        <v>8</v>
      </c>
      <c r="I812" s="2" t="s">
        <v>78</v>
      </c>
      <c r="J812" s="3">
        <v>0.266666666666667</v>
      </c>
      <c r="K812" s="21">
        <v>1229.79761904762</v>
      </c>
      <c r="L812" s="21">
        <v>25825.75</v>
      </c>
      <c r="M812" s="21">
        <v>78.75</v>
      </c>
      <c r="N812" s="2" t="s">
        <v>79</v>
      </c>
    </row>
    <row r="813" s="2" customFormat="1" spans="1:14">
      <c r="A813" s="20">
        <v>45839</v>
      </c>
      <c r="B813" s="2" t="s">
        <v>88</v>
      </c>
      <c r="C813" s="2" t="s">
        <v>89</v>
      </c>
      <c r="D813" s="2">
        <v>2</v>
      </c>
      <c r="E813" s="2">
        <v>597</v>
      </c>
      <c r="F813" s="2">
        <v>150</v>
      </c>
      <c r="G813" s="2">
        <v>174347</v>
      </c>
      <c r="H813" s="2">
        <v>6</v>
      </c>
      <c r="I813" s="2" t="s">
        <v>78</v>
      </c>
      <c r="J813" s="3">
        <v>0.251256281407035</v>
      </c>
      <c r="K813" s="21">
        <v>1162.31333333333</v>
      </c>
      <c r="L813" s="21">
        <v>29057.8333333333</v>
      </c>
      <c r="M813" s="21">
        <v>99.5</v>
      </c>
      <c r="N813" s="2" t="s">
        <v>79</v>
      </c>
    </row>
    <row r="814" s="2" customFormat="1" spans="1:14">
      <c r="A814" s="20">
        <v>45840</v>
      </c>
      <c r="B814" s="2" t="s">
        <v>88</v>
      </c>
      <c r="C814" s="2" t="s">
        <v>89</v>
      </c>
      <c r="D814" s="2">
        <v>2</v>
      </c>
      <c r="E814" s="2">
        <v>633</v>
      </c>
      <c r="F814" s="2">
        <v>172</v>
      </c>
      <c r="G814" s="2">
        <v>252977</v>
      </c>
      <c r="H814" s="2">
        <v>9</v>
      </c>
      <c r="I814" s="2" t="s">
        <v>78</v>
      </c>
      <c r="J814" s="3">
        <v>0.27172195892575</v>
      </c>
      <c r="K814" s="21">
        <v>1470.79651162791</v>
      </c>
      <c r="L814" s="21">
        <v>28108.5555555556</v>
      </c>
      <c r="M814" s="21">
        <v>70.3333333333333</v>
      </c>
      <c r="N814" s="2" t="s">
        <v>79</v>
      </c>
    </row>
    <row r="815" s="2" customFormat="1" spans="1:14">
      <c r="A815" s="20">
        <v>45841</v>
      </c>
      <c r="B815" s="2" t="s">
        <v>88</v>
      </c>
      <c r="C815" s="2" t="s">
        <v>89</v>
      </c>
      <c r="D815" s="2">
        <v>2</v>
      </c>
      <c r="E815" s="2">
        <v>603</v>
      </c>
      <c r="F815" s="2">
        <v>157</v>
      </c>
      <c r="G815" s="2">
        <v>175133</v>
      </c>
      <c r="H815" s="2">
        <v>5</v>
      </c>
      <c r="I815" s="2" t="s">
        <v>81</v>
      </c>
      <c r="J815" s="3">
        <v>0.260364842454395</v>
      </c>
      <c r="K815" s="21">
        <v>1115.49681528662</v>
      </c>
      <c r="L815" s="21">
        <v>35026.6</v>
      </c>
      <c r="M815" s="21">
        <v>120.6</v>
      </c>
      <c r="N815" s="2" t="s">
        <v>79</v>
      </c>
    </row>
    <row r="816" s="2" customFormat="1" spans="1:14">
      <c r="A816" s="20">
        <v>45842</v>
      </c>
      <c r="B816" s="2" t="s">
        <v>88</v>
      </c>
      <c r="C816" s="2" t="s">
        <v>89</v>
      </c>
      <c r="D816" s="2">
        <v>2</v>
      </c>
      <c r="E816" s="2">
        <v>595</v>
      </c>
      <c r="F816" s="2">
        <v>142</v>
      </c>
      <c r="G816" s="2">
        <v>183643</v>
      </c>
      <c r="H816" s="2">
        <v>7</v>
      </c>
      <c r="I816" s="2" t="s">
        <v>78</v>
      </c>
      <c r="J816" s="3">
        <v>0.238655462184874</v>
      </c>
      <c r="K816" s="21">
        <v>1293.26056338028</v>
      </c>
      <c r="L816" s="21">
        <v>26234.7142857143</v>
      </c>
      <c r="M816" s="21">
        <v>85</v>
      </c>
      <c r="N816" s="2" t="s">
        <v>79</v>
      </c>
    </row>
    <row r="817" s="2" customFormat="1" spans="1:14">
      <c r="A817" s="20">
        <v>45843</v>
      </c>
      <c r="B817" s="2" t="s">
        <v>88</v>
      </c>
      <c r="C817" s="2" t="s">
        <v>89</v>
      </c>
      <c r="D817" s="2">
        <v>2</v>
      </c>
      <c r="E817" s="2">
        <v>849</v>
      </c>
      <c r="F817" s="2">
        <v>201</v>
      </c>
      <c r="G817" s="2">
        <v>272570</v>
      </c>
      <c r="H817" s="2">
        <v>6</v>
      </c>
      <c r="I817" s="2" t="s">
        <v>78</v>
      </c>
      <c r="J817" s="3">
        <v>0.236749116607774</v>
      </c>
      <c r="K817" s="21">
        <v>1356.06965174129</v>
      </c>
      <c r="L817" s="21">
        <v>45428.3333333333</v>
      </c>
      <c r="M817" s="21">
        <v>141.5</v>
      </c>
      <c r="N817" s="2" t="s">
        <v>80</v>
      </c>
    </row>
    <row r="818" s="2" customFormat="1" spans="1:14">
      <c r="A818" s="20">
        <v>45844</v>
      </c>
      <c r="B818" s="2" t="s">
        <v>88</v>
      </c>
      <c r="C818" s="2" t="s">
        <v>89</v>
      </c>
      <c r="D818" s="2">
        <v>2</v>
      </c>
      <c r="E818" s="2">
        <v>847</v>
      </c>
      <c r="F818" s="2">
        <v>215</v>
      </c>
      <c r="G818" s="2">
        <v>321953</v>
      </c>
      <c r="H818" s="2">
        <v>5</v>
      </c>
      <c r="I818" s="2" t="s">
        <v>78</v>
      </c>
      <c r="J818" s="3">
        <v>0.25383707201889</v>
      </c>
      <c r="K818" s="21">
        <v>1497.45581395349</v>
      </c>
      <c r="L818" s="21">
        <v>64390.6</v>
      </c>
      <c r="M818" s="21">
        <v>169.4</v>
      </c>
      <c r="N818" s="2" t="s">
        <v>80</v>
      </c>
    </row>
    <row r="819" s="2" customFormat="1" spans="1:14">
      <c r="A819" s="20">
        <v>45845</v>
      </c>
      <c r="B819" s="2" t="s">
        <v>88</v>
      </c>
      <c r="C819" s="2" t="s">
        <v>89</v>
      </c>
      <c r="D819" s="2">
        <v>2</v>
      </c>
      <c r="E819" s="2">
        <v>622</v>
      </c>
      <c r="F819" s="2">
        <v>157</v>
      </c>
      <c r="G819" s="2">
        <v>241284</v>
      </c>
      <c r="H819" s="2">
        <v>6</v>
      </c>
      <c r="I819" s="2" t="s">
        <v>78</v>
      </c>
      <c r="J819" s="3">
        <v>0.252411575562701</v>
      </c>
      <c r="K819" s="21">
        <v>1536.84076433121</v>
      </c>
      <c r="L819" s="21">
        <v>40214</v>
      </c>
      <c r="M819" s="21">
        <v>103.666666666667</v>
      </c>
      <c r="N819" s="2" t="s">
        <v>79</v>
      </c>
    </row>
    <row r="820" s="2" customFormat="1" spans="1:14">
      <c r="A820" s="20">
        <v>45846</v>
      </c>
      <c r="B820" s="2" t="s">
        <v>88</v>
      </c>
      <c r="C820" s="2" t="s">
        <v>89</v>
      </c>
      <c r="D820" s="2">
        <v>2</v>
      </c>
      <c r="E820" s="2">
        <v>732</v>
      </c>
      <c r="F820" s="2">
        <v>181</v>
      </c>
      <c r="G820" s="2">
        <v>299128</v>
      </c>
      <c r="H820" s="2">
        <v>5</v>
      </c>
      <c r="I820" s="2" t="s">
        <v>78</v>
      </c>
      <c r="J820" s="3">
        <v>0.247267759562841</v>
      </c>
      <c r="K820" s="21">
        <v>1652.6408839779</v>
      </c>
      <c r="L820" s="21">
        <v>59825.6</v>
      </c>
      <c r="M820" s="21">
        <v>146.4</v>
      </c>
      <c r="N820" s="2" t="s">
        <v>79</v>
      </c>
    </row>
    <row r="821" s="2" customFormat="1" spans="1:14">
      <c r="A821" s="20">
        <v>45847</v>
      </c>
      <c r="B821" s="2" t="s">
        <v>88</v>
      </c>
      <c r="C821" s="2" t="s">
        <v>89</v>
      </c>
      <c r="D821" s="2">
        <v>2</v>
      </c>
      <c r="E821" s="2">
        <v>619</v>
      </c>
      <c r="F821" s="2">
        <v>166</v>
      </c>
      <c r="G821" s="2">
        <v>262660</v>
      </c>
      <c r="H821" s="2">
        <v>6</v>
      </c>
      <c r="I821" s="2" t="s">
        <v>78</v>
      </c>
      <c r="J821" s="3">
        <v>0.268174474959612</v>
      </c>
      <c r="K821" s="21">
        <v>1582.28915662651</v>
      </c>
      <c r="L821" s="21">
        <v>43776.6666666667</v>
      </c>
      <c r="M821" s="21">
        <v>103.166666666667</v>
      </c>
      <c r="N821" s="2" t="s">
        <v>79</v>
      </c>
    </row>
    <row r="822" s="2" customFormat="1" spans="1:14">
      <c r="A822" s="20">
        <v>45848</v>
      </c>
      <c r="B822" s="2" t="s">
        <v>88</v>
      </c>
      <c r="C822" s="2" t="s">
        <v>89</v>
      </c>
      <c r="D822" s="2">
        <v>2</v>
      </c>
      <c r="E822" s="2">
        <v>612</v>
      </c>
      <c r="F822" s="2">
        <v>156</v>
      </c>
      <c r="G822" s="2">
        <v>196941</v>
      </c>
      <c r="H822" s="2">
        <v>8</v>
      </c>
      <c r="I822" s="2" t="s">
        <v>81</v>
      </c>
      <c r="J822" s="3">
        <v>0.254901960784314</v>
      </c>
      <c r="K822" s="21">
        <v>1262.44230769231</v>
      </c>
      <c r="L822" s="21">
        <v>24617.625</v>
      </c>
      <c r="M822" s="21">
        <v>76.5</v>
      </c>
      <c r="N822" s="2" t="s">
        <v>79</v>
      </c>
    </row>
    <row r="823" s="2" customFormat="1" spans="1:14">
      <c r="A823" s="20">
        <v>45849</v>
      </c>
      <c r="B823" s="2" t="s">
        <v>88</v>
      </c>
      <c r="C823" s="2" t="s">
        <v>89</v>
      </c>
      <c r="D823" s="2">
        <v>2</v>
      </c>
      <c r="E823" s="2">
        <v>562</v>
      </c>
      <c r="F823" s="2">
        <v>147</v>
      </c>
      <c r="G823" s="2">
        <v>224975</v>
      </c>
      <c r="H823" s="2">
        <v>6</v>
      </c>
      <c r="I823" s="2" t="s">
        <v>78</v>
      </c>
      <c r="J823" s="3">
        <v>0.261565836298932</v>
      </c>
      <c r="K823" s="21">
        <v>1530.44217687075</v>
      </c>
      <c r="L823" s="21">
        <v>37495.8333333333</v>
      </c>
      <c r="M823" s="21">
        <v>93.6666666666667</v>
      </c>
      <c r="N823" s="2" t="s">
        <v>79</v>
      </c>
    </row>
    <row r="824" s="2" customFormat="1" spans="1:14">
      <c r="A824" s="20">
        <v>45850</v>
      </c>
      <c r="B824" s="2" t="s">
        <v>88</v>
      </c>
      <c r="C824" s="2" t="s">
        <v>89</v>
      </c>
      <c r="D824" s="2">
        <v>2</v>
      </c>
      <c r="E824" s="2">
        <v>803</v>
      </c>
      <c r="F824" s="2">
        <v>199</v>
      </c>
      <c r="G824" s="2">
        <v>244635</v>
      </c>
      <c r="H824" s="2">
        <v>6</v>
      </c>
      <c r="I824" s="2" t="s">
        <v>78</v>
      </c>
      <c r="J824" s="3">
        <v>0.247820672478207</v>
      </c>
      <c r="K824" s="21">
        <v>1229.3216080402</v>
      </c>
      <c r="L824" s="21">
        <v>40772.5</v>
      </c>
      <c r="M824" s="21">
        <v>133.833333333333</v>
      </c>
      <c r="N824" s="2" t="s">
        <v>80</v>
      </c>
    </row>
    <row r="825" s="2" customFormat="1" spans="1:14">
      <c r="A825" s="20">
        <v>45851</v>
      </c>
      <c r="B825" s="2" t="s">
        <v>88</v>
      </c>
      <c r="C825" s="2" t="s">
        <v>89</v>
      </c>
      <c r="D825" s="2">
        <v>2</v>
      </c>
      <c r="E825" s="2">
        <v>953</v>
      </c>
      <c r="F825" s="2">
        <v>224</v>
      </c>
      <c r="G825" s="2">
        <v>379222</v>
      </c>
      <c r="H825" s="2">
        <v>7</v>
      </c>
      <c r="I825" s="2" t="s">
        <v>78</v>
      </c>
      <c r="J825" s="3">
        <v>0.23504721930745</v>
      </c>
      <c r="K825" s="21">
        <v>1692.95535714286</v>
      </c>
      <c r="L825" s="21">
        <v>54174.5714285714</v>
      </c>
      <c r="M825" s="21">
        <v>136.142857142857</v>
      </c>
      <c r="N825" s="2" t="s">
        <v>80</v>
      </c>
    </row>
    <row r="826" s="2" customFormat="1" spans="1:14">
      <c r="A826" s="20">
        <v>45852</v>
      </c>
      <c r="B826" s="2" t="s">
        <v>88</v>
      </c>
      <c r="C826" s="2" t="s">
        <v>89</v>
      </c>
      <c r="D826" s="2">
        <v>2</v>
      </c>
      <c r="E826" s="2">
        <v>626</v>
      </c>
      <c r="F826" s="2">
        <v>169</v>
      </c>
      <c r="G826" s="2">
        <v>229862</v>
      </c>
      <c r="H826" s="2">
        <v>6</v>
      </c>
      <c r="I826" s="2" t="s">
        <v>78</v>
      </c>
      <c r="J826" s="3">
        <v>0.269968051118211</v>
      </c>
      <c r="K826" s="21">
        <v>1360.13017751479</v>
      </c>
      <c r="L826" s="21">
        <v>38310.3333333333</v>
      </c>
      <c r="M826" s="21">
        <v>104.333333333333</v>
      </c>
      <c r="N826" s="2" t="s">
        <v>79</v>
      </c>
    </row>
    <row r="827" s="2" customFormat="1" spans="1:14">
      <c r="A827" s="20">
        <v>45853</v>
      </c>
      <c r="B827" s="2" t="s">
        <v>88</v>
      </c>
      <c r="C827" s="2" t="s">
        <v>89</v>
      </c>
      <c r="D827" s="2">
        <v>2</v>
      </c>
      <c r="E827" s="2">
        <v>507</v>
      </c>
      <c r="F827" s="2">
        <v>122</v>
      </c>
      <c r="G827" s="2">
        <v>170753</v>
      </c>
      <c r="H827" s="2">
        <v>6</v>
      </c>
      <c r="I827" s="2" t="s">
        <v>78</v>
      </c>
      <c r="J827" s="3">
        <v>0.240631163708087</v>
      </c>
      <c r="K827" s="21">
        <v>1399.61475409836</v>
      </c>
      <c r="L827" s="21">
        <v>28458.8333333333</v>
      </c>
      <c r="M827" s="21">
        <v>84.5</v>
      </c>
      <c r="N827" s="2" t="s">
        <v>79</v>
      </c>
    </row>
    <row r="828" s="2" customFormat="1" spans="1:14">
      <c r="A828" s="20">
        <v>45854</v>
      </c>
      <c r="B828" s="2" t="s">
        <v>88</v>
      </c>
      <c r="C828" s="2" t="s">
        <v>89</v>
      </c>
      <c r="D828" s="2">
        <v>2</v>
      </c>
      <c r="E828" s="2">
        <v>455</v>
      </c>
      <c r="F828" s="2">
        <v>100</v>
      </c>
      <c r="G828" s="2">
        <v>137940</v>
      </c>
      <c r="H828" s="2">
        <v>4</v>
      </c>
      <c r="I828" s="2" t="s">
        <v>78</v>
      </c>
      <c r="J828" s="3">
        <v>0.21978021978022</v>
      </c>
      <c r="K828" s="21">
        <v>1379.4</v>
      </c>
      <c r="L828" s="21">
        <v>34485</v>
      </c>
      <c r="M828" s="21">
        <v>113.75</v>
      </c>
      <c r="N828" s="2" t="s">
        <v>79</v>
      </c>
    </row>
    <row r="829" s="2" customFormat="1" spans="1:14">
      <c r="A829" s="20">
        <v>45855</v>
      </c>
      <c r="B829" s="2" t="s">
        <v>88</v>
      </c>
      <c r="C829" s="2" t="s">
        <v>89</v>
      </c>
      <c r="D829" s="2">
        <v>2</v>
      </c>
      <c r="E829" s="2">
        <v>505</v>
      </c>
      <c r="F829" s="2">
        <v>118</v>
      </c>
      <c r="G829" s="2">
        <v>179836</v>
      </c>
      <c r="H829" s="2">
        <v>6</v>
      </c>
      <c r="I829" s="2" t="s">
        <v>78</v>
      </c>
      <c r="J829" s="3">
        <v>0.233663366336634</v>
      </c>
      <c r="K829" s="21">
        <v>1524.03389830508</v>
      </c>
      <c r="L829" s="21">
        <v>29972.6666666667</v>
      </c>
      <c r="M829" s="21">
        <v>84.1666666666667</v>
      </c>
      <c r="N829" s="2" t="s">
        <v>79</v>
      </c>
    </row>
    <row r="830" s="2" customFormat="1" spans="1:14">
      <c r="A830" s="20">
        <v>45856</v>
      </c>
      <c r="B830" s="2" t="s">
        <v>88</v>
      </c>
      <c r="C830" s="2" t="s">
        <v>89</v>
      </c>
      <c r="D830" s="2">
        <v>2</v>
      </c>
      <c r="E830" s="2">
        <v>597</v>
      </c>
      <c r="F830" s="2">
        <v>146</v>
      </c>
      <c r="G830" s="2">
        <v>178563</v>
      </c>
      <c r="H830" s="2">
        <v>9</v>
      </c>
      <c r="I830" s="2" t="s">
        <v>78</v>
      </c>
      <c r="J830" s="3">
        <v>0.244556113902848</v>
      </c>
      <c r="K830" s="21">
        <v>1223.03424657534</v>
      </c>
      <c r="L830" s="21">
        <v>19840.3333333333</v>
      </c>
      <c r="M830" s="21">
        <v>66.3333333333333</v>
      </c>
      <c r="N830" s="2" t="s">
        <v>79</v>
      </c>
    </row>
    <row r="831" s="2" customFormat="1" spans="1:14">
      <c r="A831" s="20">
        <v>45857</v>
      </c>
      <c r="B831" s="2" t="s">
        <v>88</v>
      </c>
      <c r="C831" s="2" t="s">
        <v>89</v>
      </c>
      <c r="D831" s="2">
        <v>2</v>
      </c>
      <c r="E831" s="2">
        <v>894</v>
      </c>
      <c r="F831" s="2">
        <v>231</v>
      </c>
      <c r="G831" s="2">
        <v>344214</v>
      </c>
      <c r="H831" s="2">
        <v>5</v>
      </c>
      <c r="I831" s="2" t="s">
        <v>78</v>
      </c>
      <c r="J831" s="3">
        <v>0.258389261744967</v>
      </c>
      <c r="K831" s="21">
        <v>1490.1038961039</v>
      </c>
      <c r="L831" s="21">
        <v>68842.8</v>
      </c>
      <c r="M831" s="21">
        <v>178.8</v>
      </c>
      <c r="N831" s="2" t="s">
        <v>80</v>
      </c>
    </row>
    <row r="832" s="2" customFormat="1" spans="1:14">
      <c r="A832" s="20">
        <v>45858</v>
      </c>
      <c r="B832" s="2" t="s">
        <v>88</v>
      </c>
      <c r="C832" s="2" t="s">
        <v>89</v>
      </c>
      <c r="D832" s="2">
        <v>2</v>
      </c>
      <c r="E832" s="2">
        <v>1070</v>
      </c>
      <c r="F832" s="2">
        <v>238</v>
      </c>
      <c r="G832" s="2">
        <v>285156</v>
      </c>
      <c r="H832" s="2">
        <v>6</v>
      </c>
      <c r="I832" s="2" t="s">
        <v>81</v>
      </c>
      <c r="J832" s="3">
        <v>0.222429906542056</v>
      </c>
      <c r="K832" s="21">
        <v>1198.13445378151</v>
      </c>
      <c r="L832" s="21">
        <v>47526</v>
      </c>
      <c r="M832" s="21">
        <v>178.333333333333</v>
      </c>
      <c r="N832" s="2" t="s">
        <v>80</v>
      </c>
    </row>
    <row r="833" s="2" customFormat="1" spans="1:14">
      <c r="A833" s="20">
        <v>45859</v>
      </c>
      <c r="B833" s="2" t="s">
        <v>88</v>
      </c>
      <c r="C833" s="2" t="s">
        <v>89</v>
      </c>
      <c r="D833" s="2">
        <v>2</v>
      </c>
      <c r="E833" s="2">
        <v>582</v>
      </c>
      <c r="F833" s="2">
        <v>139</v>
      </c>
      <c r="G833" s="2">
        <v>201826</v>
      </c>
      <c r="H833" s="2">
        <v>8</v>
      </c>
      <c r="I833" s="2" t="s">
        <v>78</v>
      </c>
      <c r="J833" s="3">
        <v>0.238831615120275</v>
      </c>
      <c r="K833" s="21">
        <v>1451.98561151079</v>
      </c>
      <c r="L833" s="21">
        <v>25228.25</v>
      </c>
      <c r="M833" s="21">
        <v>72.75</v>
      </c>
      <c r="N833" s="2" t="s">
        <v>79</v>
      </c>
    </row>
    <row r="834" s="2" customFormat="1" spans="1:14">
      <c r="A834" s="20">
        <v>45860</v>
      </c>
      <c r="B834" s="2" t="s">
        <v>88</v>
      </c>
      <c r="C834" s="2" t="s">
        <v>89</v>
      </c>
      <c r="D834" s="2">
        <v>2</v>
      </c>
      <c r="E834" s="2">
        <v>617</v>
      </c>
      <c r="F834" s="2">
        <v>148</v>
      </c>
      <c r="G834" s="2">
        <v>204719</v>
      </c>
      <c r="H834" s="2">
        <v>7</v>
      </c>
      <c r="I834" s="2" t="s">
        <v>78</v>
      </c>
      <c r="J834" s="3">
        <v>0.239870340356564</v>
      </c>
      <c r="K834" s="21">
        <v>1383.23648648649</v>
      </c>
      <c r="L834" s="21">
        <v>29245.5714285714</v>
      </c>
      <c r="M834" s="21">
        <v>88.1428571428571</v>
      </c>
      <c r="N834" s="2" t="s">
        <v>79</v>
      </c>
    </row>
    <row r="835" s="2" customFormat="1" spans="1:14">
      <c r="A835" s="20">
        <v>45861</v>
      </c>
      <c r="B835" s="2" t="s">
        <v>88</v>
      </c>
      <c r="C835" s="2" t="s">
        <v>89</v>
      </c>
      <c r="D835" s="2">
        <v>2</v>
      </c>
      <c r="E835" s="2">
        <v>731</v>
      </c>
      <c r="F835" s="2">
        <v>184</v>
      </c>
      <c r="G835" s="2">
        <v>225678</v>
      </c>
      <c r="H835" s="2">
        <v>7</v>
      </c>
      <c r="I835" s="2" t="s">
        <v>78</v>
      </c>
      <c r="J835" s="3">
        <v>0.251709986320109</v>
      </c>
      <c r="K835" s="21">
        <v>1226.51086956522</v>
      </c>
      <c r="L835" s="21">
        <v>32239.7142857143</v>
      </c>
      <c r="M835" s="21">
        <v>104.428571428571</v>
      </c>
      <c r="N835" s="2" t="s">
        <v>79</v>
      </c>
    </row>
    <row r="836" s="2" customFormat="1" spans="1:14">
      <c r="A836" s="20">
        <v>45862</v>
      </c>
      <c r="B836" s="2" t="s">
        <v>88</v>
      </c>
      <c r="C836" s="2" t="s">
        <v>89</v>
      </c>
      <c r="D836" s="2">
        <v>2</v>
      </c>
      <c r="E836" s="2">
        <v>585</v>
      </c>
      <c r="F836" s="2">
        <v>134</v>
      </c>
      <c r="G836" s="2">
        <v>189930</v>
      </c>
      <c r="H836" s="2">
        <v>7</v>
      </c>
      <c r="I836" s="2" t="s">
        <v>78</v>
      </c>
      <c r="J836" s="3">
        <v>0.229059829059829</v>
      </c>
      <c r="K836" s="21">
        <v>1417.38805970149</v>
      </c>
      <c r="L836" s="21">
        <v>27132.8571428571</v>
      </c>
      <c r="M836" s="21">
        <v>83.5714285714286</v>
      </c>
      <c r="N836" s="2" t="s">
        <v>79</v>
      </c>
    </row>
    <row r="837" s="2" customFormat="1" spans="1:14">
      <c r="A837" s="20">
        <v>45863</v>
      </c>
      <c r="B837" s="2" t="s">
        <v>88</v>
      </c>
      <c r="C837" s="2" t="s">
        <v>89</v>
      </c>
      <c r="D837" s="2">
        <v>2</v>
      </c>
      <c r="E837" s="2">
        <v>552</v>
      </c>
      <c r="F837" s="2">
        <v>123</v>
      </c>
      <c r="G837" s="2">
        <v>183308</v>
      </c>
      <c r="H837" s="2">
        <v>4</v>
      </c>
      <c r="I837" s="2" t="s">
        <v>78</v>
      </c>
      <c r="J837" s="3">
        <v>0.222826086956522</v>
      </c>
      <c r="K837" s="21">
        <v>1490.30894308943</v>
      </c>
      <c r="L837" s="21">
        <v>45827</v>
      </c>
      <c r="M837" s="21">
        <v>138</v>
      </c>
      <c r="N837" s="2" t="s">
        <v>79</v>
      </c>
    </row>
    <row r="838" s="2" customFormat="1" spans="1:14">
      <c r="A838" s="20">
        <v>45864</v>
      </c>
      <c r="B838" s="2" t="s">
        <v>88</v>
      </c>
      <c r="C838" s="2" t="s">
        <v>89</v>
      </c>
      <c r="D838" s="2">
        <v>2</v>
      </c>
      <c r="E838" s="2">
        <v>908</v>
      </c>
      <c r="F838" s="2">
        <v>242</v>
      </c>
      <c r="G838" s="2">
        <v>404579</v>
      </c>
      <c r="H838" s="2">
        <v>7</v>
      </c>
      <c r="I838" s="2" t="s">
        <v>81</v>
      </c>
      <c r="J838" s="3">
        <v>0.266519823788546</v>
      </c>
      <c r="K838" s="21">
        <v>1671.81404958678</v>
      </c>
      <c r="L838" s="21">
        <v>57797</v>
      </c>
      <c r="M838" s="21">
        <v>129.714285714286</v>
      </c>
      <c r="N838" s="2" t="s">
        <v>80</v>
      </c>
    </row>
    <row r="839" s="2" customFormat="1" spans="1:14">
      <c r="A839" s="20">
        <v>45865</v>
      </c>
      <c r="B839" s="2" t="s">
        <v>88</v>
      </c>
      <c r="C839" s="2" t="s">
        <v>89</v>
      </c>
      <c r="D839" s="2">
        <v>2</v>
      </c>
      <c r="E839" s="2">
        <v>771</v>
      </c>
      <c r="F839" s="2">
        <v>173</v>
      </c>
      <c r="G839" s="2">
        <v>237410</v>
      </c>
      <c r="H839" s="2">
        <v>5</v>
      </c>
      <c r="I839" s="2" t="s">
        <v>78</v>
      </c>
      <c r="J839" s="3">
        <v>0.224383916990921</v>
      </c>
      <c r="K839" s="21">
        <v>1372.31213872832</v>
      </c>
      <c r="L839" s="21">
        <v>47482</v>
      </c>
      <c r="M839" s="21">
        <v>154.2</v>
      </c>
      <c r="N839" s="2" t="s">
        <v>80</v>
      </c>
    </row>
    <row r="840" s="2" customFormat="1" spans="1:14">
      <c r="A840" s="20">
        <v>45866</v>
      </c>
      <c r="B840" s="2" t="s">
        <v>88</v>
      </c>
      <c r="C840" s="2" t="s">
        <v>89</v>
      </c>
      <c r="D840" s="2">
        <v>2</v>
      </c>
      <c r="E840" s="2">
        <v>569</v>
      </c>
      <c r="F840" s="2">
        <v>131</v>
      </c>
      <c r="G840" s="2">
        <v>218466</v>
      </c>
      <c r="H840" s="2">
        <v>6</v>
      </c>
      <c r="I840" s="2" t="s">
        <v>78</v>
      </c>
      <c r="J840" s="3">
        <v>0.230228471001758</v>
      </c>
      <c r="K840" s="21">
        <v>1667.67938931298</v>
      </c>
      <c r="L840" s="21">
        <v>36411</v>
      </c>
      <c r="M840" s="21">
        <v>94.8333333333333</v>
      </c>
      <c r="N840" s="2" t="s">
        <v>79</v>
      </c>
    </row>
    <row r="841" s="2" customFormat="1" spans="1:14">
      <c r="A841" s="20">
        <v>45867</v>
      </c>
      <c r="B841" s="2" t="s">
        <v>88</v>
      </c>
      <c r="C841" s="2" t="s">
        <v>89</v>
      </c>
      <c r="D841" s="2">
        <v>2</v>
      </c>
      <c r="E841" s="2">
        <v>652</v>
      </c>
      <c r="F841" s="2">
        <v>162</v>
      </c>
      <c r="G841" s="2">
        <v>210516</v>
      </c>
      <c r="H841" s="2">
        <v>7</v>
      </c>
      <c r="I841" s="2" t="s">
        <v>78</v>
      </c>
      <c r="J841" s="3">
        <v>0.248466257668712</v>
      </c>
      <c r="K841" s="21">
        <v>1299.48148148148</v>
      </c>
      <c r="L841" s="21">
        <v>30073.7142857143</v>
      </c>
      <c r="M841" s="21">
        <v>93.1428571428571</v>
      </c>
      <c r="N841" s="2" t="s">
        <v>79</v>
      </c>
    </row>
    <row r="842" s="2" customFormat="1" spans="1:14">
      <c r="A842" s="20">
        <v>45868</v>
      </c>
      <c r="B842" s="2" t="s">
        <v>88</v>
      </c>
      <c r="C842" s="2" t="s">
        <v>89</v>
      </c>
      <c r="D842" s="2">
        <v>2</v>
      </c>
      <c r="E842" s="2">
        <v>592</v>
      </c>
      <c r="F842" s="2">
        <v>154</v>
      </c>
      <c r="G842" s="2">
        <v>170783</v>
      </c>
      <c r="H842" s="2">
        <v>4</v>
      </c>
      <c r="I842" s="2" t="s">
        <v>78</v>
      </c>
      <c r="J842" s="3">
        <v>0.260135135135135</v>
      </c>
      <c r="K842" s="21">
        <v>1108.98051948052</v>
      </c>
      <c r="L842" s="21">
        <v>42695.75</v>
      </c>
      <c r="M842" s="21">
        <v>148</v>
      </c>
      <c r="N842" s="2" t="s">
        <v>79</v>
      </c>
    </row>
    <row r="843" s="2" customFormat="1" spans="1:14">
      <c r="A843" s="20">
        <v>45869</v>
      </c>
      <c r="B843" s="2" t="s">
        <v>88</v>
      </c>
      <c r="C843" s="2" t="s">
        <v>89</v>
      </c>
      <c r="D843" s="2">
        <v>2</v>
      </c>
      <c r="E843" s="2">
        <v>637</v>
      </c>
      <c r="F843" s="2">
        <v>151</v>
      </c>
      <c r="G843" s="2">
        <v>247858</v>
      </c>
      <c r="H843" s="2">
        <v>9</v>
      </c>
      <c r="I843" s="2" t="s">
        <v>78</v>
      </c>
      <c r="J843" s="3">
        <v>0.237048665620094</v>
      </c>
      <c r="K843" s="21">
        <v>1641.44370860927</v>
      </c>
      <c r="L843" s="21">
        <v>27539.7777777778</v>
      </c>
      <c r="M843" s="21">
        <v>70.7777777777778</v>
      </c>
      <c r="N843" s="2" t="s">
        <v>79</v>
      </c>
    </row>
    <row r="844" s="2" customFormat="1" spans="1:14">
      <c r="A844" s="20">
        <v>45870</v>
      </c>
      <c r="B844" s="2" t="s">
        <v>88</v>
      </c>
      <c r="C844" s="2" t="s">
        <v>89</v>
      </c>
      <c r="D844" s="2">
        <v>2</v>
      </c>
      <c r="E844" s="2">
        <v>734</v>
      </c>
      <c r="F844" s="2">
        <v>172</v>
      </c>
      <c r="G844" s="2">
        <v>238992</v>
      </c>
      <c r="H844" s="2">
        <v>7</v>
      </c>
      <c r="I844" s="2" t="s">
        <v>78</v>
      </c>
      <c r="J844" s="3">
        <v>0.23433242506812</v>
      </c>
      <c r="K844" s="21">
        <v>1389.48837209302</v>
      </c>
      <c r="L844" s="21">
        <v>34141.7142857143</v>
      </c>
      <c r="M844" s="21">
        <v>104.857142857143</v>
      </c>
      <c r="N844" s="2" t="s">
        <v>79</v>
      </c>
    </row>
    <row r="845" s="2" customFormat="1" spans="1:14">
      <c r="A845" s="20">
        <v>45871</v>
      </c>
      <c r="B845" s="2" t="s">
        <v>88</v>
      </c>
      <c r="C845" s="2" t="s">
        <v>89</v>
      </c>
      <c r="D845" s="2">
        <v>2</v>
      </c>
      <c r="E845" s="2">
        <v>804</v>
      </c>
      <c r="F845" s="2">
        <v>212</v>
      </c>
      <c r="G845" s="2">
        <v>267429</v>
      </c>
      <c r="H845" s="2">
        <v>5</v>
      </c>
      <c r="I845" s="2" t="s">
        <v>81</v>
      </c>
      <c r="J845" s="3">
        <v>0.263681592039801</v>
      </c>
      <c r="K845" s="21">
        <v>1261.45754716981</v>
      </c>
      <c r="L845" s="21">
        <v>53485.8</v>
      </c>
      <c r="M845" s="21">
        <v>160.8</v>
      </c>
      <c r="N845" s="2" t="s">
        <v>80</v>
      </c>
    </row>
    <row r="846" s="2" customFormat="1" spans="1:14">
      <c r="A846" s="20">
        <v>45872</v>
      </c>
      <c r="B846" s="2" t="s">
        <v>88</v>
      </c>
      <c r="C846" s="2" t="s">
        <v>89</v>
      </c>
      <c r="D846" s="2">
        <v>2</v>
      </c>
      <c r="E846" s="2">
        <v>873</v>
      </c>
      <c r="F846" s="2">
        <v>208</v>
      </c>
      <c r="G846" s="2">
        <v>315239</v>
      </c>
      <c r="H846" s="2">
        <v>6</v>
      </c>
      <c r="I846" s="2" t="s">
        <v>78</v>
      </c>
      <c r="J846" s="3">
        <v>0.238258877434135</v>
      </c>
      <c r="K846" s="21">
        <v>1515.57211538462</v>
      </c>
      <c r="L846" s="21">
        <v>52539.8333333333</v>
      </c>
      <c r="M846" s="21">
        <v>145.5</v>
      </c>
      <c r="N846" s="2" t="s">
        <v>80</v>
      </c>
    </row>
    <row r="847" s="2" customFormat="1" spans="1:14">
      <c r="A847" s="20">
        <v>45873</v>
      </c>
      <c r="B847" s="2" t="s">
        <v>88</v>
      </c>
      <c r="C847" s="2" t="s">
        <v>89</v>
      </c>
      <c r="D847" s="2">
        <v>2</v>
      </c>
      <c r="E847" s="2">
        <v>840</v>
      </c>
      <c r="F847" s="2">
        <v>203</v>
      </c>
      <c r="G847" s="2">
        <v>235185</v>
      </c>
      <c r="H847" s="2">
        <v>6</v>
      </c>
      <c r="I847" s="2" t="s">
        <v>78</v>
      </c>
      <c r="J847" s="3">
        <v>0.241666666666667</v>
      </c>
      <c r="K847" s="21">
        <v>1158.54679802956</v>
      </c>
      <c r="L847" s="21">
        <v>39197.5</v>
      </c>
      <c r="M847" s="21">
        <v>140</v>
      </c>
      <c r="N847" s="2" t="s">
        <v>79</v>
      </c>
    </row>
    <row r="848" s="2" customFormat="1" spans="1:14">
      <c r="A848" s="20">
        <v>45874</v>
      </c>
      <c r="B848" s="2" t="s">
        <v>88</v>
      </c>
      <c r="C848" s="2" t="s">
        <v>89</v>
      </c>
      <c r="D848" s="2">
        <v>2</v>
      </c>
      <c r="E848" s="2">
        <v>541</v>
      </c>
      <c r="F848" s="2">
        <v>133</v>
      </c>
      <c r="G848" s="2">
        <v>223099</v>
      </c>
      <c r="H848" s="2">
        <v>6</v>
      </c>
      <c r="I848" s="2" t="s">
        <v>78</v>
      </c>
      <c r="J848" s="3">
        <v>0.245841035120148</v>
      </c>
      <c r="K848" s="21">
        <v>1677.43609022556</v>
      </c>
      <c r="L848" s="21">
        <v>37183.1666666667</v>
      </c>
      <c r="M848" s="21">
        <v>90.1666666666667</v>
      </c>
      <c r="N848" s="2" t="s">
        <v>79</v>
      </c>
    </row>
    <row r="849" s="2" customFormat="1" spans="1:14">
      <c r="A849" s="20">
        <v>45875</v>
      </c>
      <c r="B849" s="2" t="s">
        <v>88</v>
      </c>
      <c r="C849" s="2" t="s">
        <v>89</v>
      </c>
      <c r="D849" s="2">
        <v>2</v>
      </c>
      <c r="E849" s="2">
        <v>512</v>
      </c>
      <c r="F849" s="2">
        <v>114</v>
      </c>
      <c r="G849" s="2">
        <v>145261</v>
      </c>
      <c r="H849" s="2">
        <v>6</v>
      </c>
      <c r="I849" s="2" t="s">
        <v>78</v>
      </c>
      <c r="J849" s="3">
        <v>0.22265625</v>
      </c>
      <c r="K849" s="21">
        <v>1274.21929824561</v>
      </c>
      <c r="L849" s="21">
        <v>24210.1666666667</v>
      </c>
      <c r="M849" s="21">
        <v>85.3333333333333</v>
      </c>
      <c r="N849" s="2" t="s">
        <v>79</v>
      </c>
    </row>
    <row r="850" s="2" customFormat="1" spans="1:14">
      <c r="A850" s="20">
        <v>45876</v>
      </c>
      <c r="B850" s="2" t="s">
        <v>88</v>
      </c>
      <c r="C850" s="2" t="s">
        <v>89</v>
      </c>
      <c r="D850" s="2">
        <v>2</v>
      </c>
      <c r="E850" s="2">
        <v>660</v>
      </c>
      <c r="F850" s="2">
        <v>150</v>
      </c>
      <c r="G850" s="2">
        <v>190762</v>
      </c>
      <c r="H850" s="2">
        <v>7</v>
      </c>
      <c r="I850" s="2" t="s">
        <v>78</v>
      </c>
      <c r="J850" s="3">
        <v>0.227272727272727</v>
      </c>
      <c r="K850" s="21">
        <v>1271.74666666667</v>
      </c>
      <c r="L850" s="21">
        <v>27251.7142857143</v>
      </c>
      <c r="M850" s="21">
        <v>94.2857142857143</v>
      </c>
      <c r="N850" s="2" t="s">
        <v>79</v>
      </c>
    </row>
    <row r="851" s="2" customFormat="1" spans="1:14">
      <c r="A851" s="20">
        <v>45877</v>
      </c>
      <c r="B851" s="2" t="s">
        <v>88</v>
      </c>
      <c r="C851" s="2" t="s">
        <v>89</v>
      </c>
      <c r="D851" s="2">
        <v>2</v>
      </c>
      <c r="E851" s="2">
        <v>549</v>
      </c>
      <c r="F851" s="2">
        <v>140</v>
      </c>
      <c r="G851" s="2">
        <v>180649</v>
      </c>
      <c r="H851" s="2">
        <v>9</v>
      </c>
      <c r="I851" s="2" t="s">
        <v>78</v>
      </c>
      <c r="J851" s="3">
        <v>0.255009107468124</v>
      </c>
      <c r="K851" s="21">
        <v>1290.35</v>
      </c>
      <c r="L851" s="21">
        <v>20072.1111111111</v>
      </c>
      <c r="M851" s="21">
        <v>61</v>
      </c>
      <c r="N851" s="2" t="s">
        <v>79</v>
      </c>
    </row>
    <row r="852" s="2" customFormat="1" spans="1:14">
      <c r="A852" s="20">
        <v>45878</v>
      </c>
      <c r="B852" s="2" t="s">
        <v>88</v>
      </c>
      <c r="C852" s="2" t="s">
        <v>89</v>
      </c>
      <c r="D852" s="2">
        <v>2</v>
      </c>
      <c r="E852" s="2">
        <v>848</v>
      </c>
      <c r="F852" s="2">
        <v>186</v>
      </c>
      <c r="G852" s="2">
        <v>285005</v>
      </c>
      <c r="H852" s="2">
        <v>4</v>
      </c>
      <c r="I852" s="2" t="s">
        <v>78</v>
      </c>
      <c r="J852" s="3">
        <v>0.219339622641509</v>
      </c>
      <c r="K852" s="21">
        <v>1532.28494623656</v>
      </c>
      <c r="L852" s="21">
        <v>71251.25</v>
      </c>
      <c r="M852" s="21">
        <v>212</v>
      </c>
      <c r="N852" s="2" t="s">
        <v>80</v>
      </c>
    </row>
    <row r="853" s="2" customFormat="1" spans="1:14">
      <c r="A853" s="20">
        <v>45879</v>
      </c>
      <c r="B853" s="2" t="s">
        <v>88</v>
      </c>
      <c r="C853" s="2" t="s">
        <v>89</v>
      </c>
      <c r="D853" s="2">
        <v>2</v>
      </c>
      <c r="E853" s="2">
        <v>1032</v>
      </c>
      <c r="F853" s="2">
        <v>282</v>
      </c>
      <c r="G853" s="2">
        <v>405667</v>
      </c>
      <c r="H853" s="2">
        <v>7</v>
      </c>
      <c r="I853" s="2" t="s">
        <v>78</v>
      </c>
      <c r="J853" s="3">
        <v>0.273255813953488</v>
      </c>
      <c r="K853" s="21">
        <v>1438.53546099291</v>
      </c>
      <c r="L853" s="21">
        <v>57952.4285714286</v>
      </c>
      <c r="M853" s="21">
        <v>147.428571428571</v>
      </c>
      <c r="N853" s="2" t="s">
        <v>80</v>
      </c>
    </row>
    <row r="854" s="2" customFormat="1" spans="1:14">
      <c r="A854" s="20">
        <v>45880</v>
      </c>
      <c r="B854" s="2" t="s">
        <v>88</v>
      </c>
      <c r="C854" s="2" t="s">
        <v>89</v>
      </c>
      <c r="D854" s="2">
        <v>2</v>
      </c>
      <c r="E854" s="2">
        <v>488</v>
      </c>
      <c r="F854" s="2">
        <v>118</v>
      </c>
      <c r="G854" s="2">
        <v>164712</v>
      </c>
      <c r="H854" s="2">
        <v>5</v>
      </c>
      <c r="I854" s="2" t="s">
        <v>81</v>
      </c>
      <c r="J854" s="3">
        <v>0.241803278688525</v>
      </c>
      <c r="K854" s="21">
        <v>1395.86440677966</v>
      </c>
      <c r="L854" s="21">
        <v>32942.4</v>
      </c>
      <c r="M854" s="21">
        <v>97.6</v>
      </c>
      <c r="N854" s="2" t="s">
        <v>79</v>
      </c>
    </row>
    <row r="855" s="2" customFormat="1" spans="1:14">
      <c r="A855" s="20">
        <v>45881</v>
      </c>
      <c r="B855" s="2" t="s">
        <v>88</v>
      </c>
      <c r="C855" s="2" t="s">
        <v>89</v>
      </c>
      <c r="D855" s="2">
        <v>2</v>
      </c>
      <c r="E855" s="2">
        <v>588</v>
      </c>
      <c r="F855" s="2">
        <v>136</v>
      </c>
      <c r="G855" s="2">
        <v>195251</v>
      </c>
      <c r="H855" s="2">
        <v>5</v>
      </c>
      <c r="I855" s="2" t="s">
        <v>78</v>
      </c>
      <c r="J855" s="3">
        <v>0.231292517006803</v>
      </c>
      <c r="K855" s="21">
        <v>1435.66911764706</v>
      </c>
      <c r="L855" s="21">
        <v>39050.2</v>
      </c>
      <c r="M855" s="21">
        <v>117.6</v>
      </c>
      <c r="N855" s="2" t="s">
        <v>79</v>
      </c>
    </row>
    <row r="856" s="2" customFormat="1" spans="1:14">
      <c r="A856" s="20">
        <v>45882</v>
      </c>
      <c r="B856" s="2" t="s">
        <v>88</v>
      </c>
      <c r="C856" s="2" t="s">
        <v>89</v>
      </c>
      <c r="D856" s="2">
        <v>2</v>
      </c>
      <c r="E856" s="2">
        <v>569</v>
      </c>
      <c r="F856" s="2">
        <v>148</v>
      </c>
      <c r="G856" s="2">
        <v>167037</v>
      </c>
      <c r="H856" s="2">
        <v>6</v>
      </c>
      <c r="I856" s="2" t="s">
        <v>78</v>
      </c>
      <c r="J856" s="3">
        <v>0.260105448154657</v>
      </c>
      <c r="K856" s="21">
        <v>1128.62837837838</v>
      </c>
      <c r="L856" s="21">
        <v>27839.5</v>
      </c>
      <c r="M856" s="21">
        <v>94.8333333333333</v>
      </c>
      <c r="N856" s="2" t="s">
        <v>79</v>
      </c>
    </row>
    <row r="857" s="2" customFormat="1" spans="1:14">
      <c r="A857" s="20">
        <v>45883</v>
      </c>
      <c r="B857" s="2" t="s">
        <v>88</v>
      </c>
      <c r="C857" s="2" t="s">
        <v>89</v>
      </c>
      <c r="D857" s="2">
        <v>2</v>
      </c>
      <c r="E857" s="2">
        <v>565</v>
      </c>
      <c r="F857" s="2">
        <v>146</v>
      </c>
      <c r="G857" s="2">
        <v>208729</v>
      </c>
      <c r="H857" s="2">
        <v>6</v>
      </c>
      <c r="I857" s="2" t="s">
        <v>81</v>
      </c>
      <c r="J857" s="3">
        <v>0.258407079646018</v>
      </c>
      <c r="K857" s="21">
        <v>1429.65068493151</v>
      </c>
      <c r="L857" s="21">
        <v>34788.1666666667</v>
      </c>
      <c r="M857" s="21">
        <v>94.1666666666667</v>
      </c>
      <c r="N857" s="2" t="s">
        <v>79</v>
      </c>
    </row>
    <row r="858" s="2" customFormat="1" spans="1:14">
      <c r="A858" s="20">
        <v>45884</v>
      </c>
      <c r="B858" s="2" t="s">
        <v>88</v>
      </c>
      <c r="C858" s="2" t="s">
        <v>89</v>
      </c>
      <c r="D858" s="2">
        <v>2</v>
      </c>
      <c r="E858" s="2">
        <v>554</v>
      </c>
      <c r="F858" s="2">
        <v>151</v>
      </c>
      <c r="G858" s="2">
        <v>238898</v>
      </c>
      <c r="H858" s="2">
        <v>9</v>
      </c>
      <c r="I858" s="2" t="s">
        <v>78</v>
      </c>
      <c r="J858" s="3">
        <v>0.272563176895307</v>
      </c>
      <c r="K858" s="21">
        <v>1582.1059602649</v>
      </c>
      <c r="L858" s="21">
        <v>26544.2222222222</v>
      </c>
      <c r="M858" s="21">
        <v>61.5555555555556</v>
      </c>
      <c r="N858" s="2" t="s">
        <v>79</v>
      </c>
    </row>
    <row r="859" s="2" customFormat="1" spans="1:14">
      <c r="A859" s="20">
        <v>45885</v>
      </c>
      <c r="B859" s="2" t="s">
        <v>88</v>
      </c>
      <c r="C859" s="2" t="s">
        <v>89</v>
      </c>
      <c r="D859" s="2">
        <v>2</v>
      </c>
      <c r="E859" s="2">
        <v>954</v>
      </c>
      <c r="F859" s="2">
        <v>217</v>
      </c>
      <c r="G859" s="2">
        <v>332653</v>
      </c>
      <c r="H859" s="2">
        <v>6</v>
      </c>
      <c r="I859" s="2" t="s">
        <v>78</v>
      </c>
      <c r="J859" s="3">
        <v>0.227463312368973</v>
      </c>
      <c r="K859" s="21">
        <v>1532.96313364055</v>
      </c>
      <c r="L859" s="21">
        <v>55442.1666666667</v>
      </c>
      <c r="M859" s="21">
        <v>159</v>
      </c>
      <c r="N859" s="2" t="s">
        <v>80</v>
      </c>
    </row>
    <row r="860" s="2" customFormat="1" spans="1:14">
      <c r="A860" s="20">
        <v>45886</v>
      </c>
      <c r="B860" s="2" t="s">
        <v>88</v>
      </c>
      <c r="C860" s="2" t="s">
        <v>89</v>
      </c>
      <c r="D860" s="2">
        <v>2</v>
      </c>
      <c r="E860" s="2">
        <v>661</v>
      </c>
      <c r="F860" s="2">
        <v>175</v>
      </c>
      <c r="G860" s="2">
        <v>290490</v>
      </c>
      <c r="H860" s="2">
        <v>5</v>
      </c>
      <c r="I860" s="2" t="s">
        <v>78</v>
      </c>
      <c r="J860" s="3">
        <v>0.264750378214826</v>
      </c>
      <c r="K860" s="21">
        <v>1659.94285714286</v>
      </c>
      <c r="L860" s="21">
        <v>58098</v>
      </c>
      <c r="M860" s="21">
        <v>132.2</v>
      </c>
      <c r="N860" s="2" t="s">
        <v>80</v>
      </c>
    </row>
    <row r="861" s="2" customFormat="1" spans="1:14">
      <c r="A861" s="20">
        <v>45887</v>
      </c>
      <c r="B861" s="2" t="s">
        <v>88</v>
      </c>
      <c r="C861" s="2" t="s">
        <v>89</v>
      </c>
      <c r="D861" s="2">
        <v>2</v>
      </c>
      <c r="E861" s="2">
        <v>646</v>
      </c>
      <c r="F861" s="2">
        <v>161</v>
      </c>
      <c r="G861" s="2">
        <v>177220</v>
      </c>
      <c r="H861" s="2">
        <v>7</v>
      </c>
      <c r="I861" s="2" t="s">
        <v>78</v>
      </c>
      <c r="J861" s="3">
        <v>0.249226006191951</v>
      </c>
      <c r="K861" s="21">
        <v>1100.74534161491</v>
      </c>
      <c r="L861" s="21">
        <v>25317.1428571429</v>
      </c>
      <c r="M861" s="21">
        <v>92.2857142857143</v>
      </c>
      <c r="N861" s="2" t="s">
        <v>79</v>
      </c>
    </row>
    <row r="862" s="2" customFormat="1" spans="1:14">
      <c r="A862" s="20">
        <v>45888</v>
      </c>
      <c r="B862" s="2" t="s">
        <v>88</v>
      </c>
      <c r="C862" s="2" t="s">
        <v>89</v>
      </c>
      <c r="D862" s="2">
        <v>2</v>
      </c>
      <c r="E862" s="2">
        <v>620</v>
      </c>
      <c r="F862" s="2">
        <v>156</v>
      </c>
      <c r="G862" s="2">
        <v>174634</v>
      </c>
      <c r="H862" s="2">
        <v>6</v>
      </c>
      <c r="I862" s="2" t="s">
        <v>78</v>
      </c>
      <c r="J862" s="3">
        <v>0.251612903225806</v>
      </c>
      <c r="K862" s="21">
        <v>1119.44871794872</v>
      </c>
      <c r="L862" s="21">
        <v>29105.6666666667</v>
      </c>
      <c r="M862" s="21">
        <v>103.333333333333</v>
      </c>
      <c r="N862" s="2" t="s">
        <v>79</v>
      </c>
    </row>
    <row r="863" s="2" customFormat="1" spans="1:14">
      <c r="A863" s="20">
        <v>45889</v>
      </c>
      <c r="B863" s="2" t="s">
        <v>88</v>
      </c>
      <c r="C863" s="2" t="s">
        <v>89</v>
      </c>
      <c r="D863" s="2">
        <v>2</v>
      </c>
      <c r="E863" s="2">
        <v>639</v>
      </c>
      <c r="F863" s="2">
        <v>142</v>
      </c>
      <c r="G863" s="2">
        <v>181665</v>
      </c>
      <c r="H863" s="2">
        <v>5</v>
      </c>
      <c r="I863" s="2" t="s">
        <v>78</v>
      </c>
      <c r="J863" s="3">
        <v>0.222222222222222</v>
      </c>
      <c r="K863" s="21">
        <v>1279.33098591549</v>
      </c>
      <c r="L863" s="21">
        <v>36333</v>
      </c>
      <c r="M863" s="21">
        <v>127.8</v>
      </c>
      <c r="N863" s="2" t="s">
        <v>79</v>
      </c>
    </row>
    <row r="864" s="2" customFormat="1" spans="1:14">
      <c r="A864" s="20">
        <v>45890</v>
      </c>
      <c r="B864" s="2" t="s">
        <v>88</v>
      </c>
      <c r="C864" s="2" t="s">
        <v>89</v>
      </c>
      <c r="D864" s="2">
        <v>2</v>
      </c>
      <c r="E864" s="2">
        <v>607</v>
      </c>
      <c r="F864" s="2">
        <v>169</v>
      </c>
      <c r="G864" s="2">
        <v>283117</v>
      </c>
      <c r="H864" s="2">
        <v>8</v>
      </c>
      <c r="I864" s="2" t="s">
        <v>81</v>
      </c>
      <c r="J864" s="3">
        <v>0.27841845140033</v>
      </c>
      <c r="K864" s="21">
        <v>1675.24852071006</v>
      </c>
      <c r="L864" s="21">
        <v>35389.625</v>
      </c>
      <c r="M864" s="21">
        <v>75.875</v>
      </c>
      <c r="N864" s="2" t="s">
        <v>79</v>
      </c>
    </row>
    <row r="865" s="2" customFormat="1" spans="1:14">
      <c r="A865" s="20">
        <v>45891</v>
      </c>
      <c r="B865" s="2" t="s">
        <v>88</v>
      </c>
      <c r="C865" s="2" t="s">
        <v>89</v>
      </c>
      <c r="D865" s="2">
        <v>2</v>
      </c>
      <c r="E865" s="2">
        <v>461</v>
      </c>
      <c r="F865" s="2">
        <v>115</v>
      </c>
      <c r="G865" s="2">
        <v>173773</v>
      </c>
      <c r="H865" s="2">
        <v>7</v>
      </c>
      <c r="I865" s="2" t="s">
        <v>78</v>
      </c>
      <c r="J865" s="3">
        <v>0.249457700650759</v>
      </c>
      <c r="K865" s="21">
        <v>1511.06956521739</v>
      </c>
      <c r="L865" s="21">
        <v>24824.7142857143</v>
      </c>
      <c r="M865" s="21">
        <v>65.8571428571429</v>
      </c>
      <c r="N865" s="2" t="s">
        <v>79</v>
      </c>
    </row>
    <row r="866" s="2" customFormat="1" spans="1:14">
      <c r="A866" s="20">
        <v>45892</v>
      </c>
      <c r="B866" s="2" t="s">
        <v>88</v>
      </c>
      <c r="C866" s="2" t="s">
        <v>89</v>
      </c>
      <c r="D866" s="2">
        <v>2</v>
      </c>
      <c r="E866" s="2">
        <v>957</v>
      </c>
      <c r="F866" s="2">
        <v>242</v>
      </c>
      <c r="G866" s="2">
        <v>372560</v>
      </c>
      <c r="H866" s="2">
        <v>9</v>
      </c>
      <c r="I866" s="2" t="s">
        <v>81</v>
      </c>
      <c r="J866" s="3">
        <v>0.252873563218391</v>
      </c>
      <c r="K866" s="21">
        <v>1539.50413223141</v>
      </c>
      <c r="L866" s="21">
        <v>41395.5555555555</v>
      </c>
      <c r="M866" s="21">
        <v>106.333333333333</v>
      </c>
      <c r="N866" s="2" t="s">
        <v>80</v>
      </c>
    </row>
    <row r="867" s="2" customFormat="1" spans="1:14">
      <c r="A867" s="20">
        <v>45893</v>
      </c>
      <c r="B867" s="2" t="s">
        <v>88</v>
      </c>
      <c r="C867" s="2" t="s">
        <v>89</v>
      </c>
      <c r="D867" s="2">
        <v>2</v>
      </c>
      <c r="E867" s="2">
        <v>874</v>
      </c>
      <c r="F867" s="2">
        <v>213</v>
      </c>
      <c r="G867" s="2">
        <v>290945</v>
      </c>
      <c r="H867" s="2">
        <v>7</v>
      </c>
      <c r="I867" s="2" t="s">
        <v>78</v>
      </c>
      <c r="J867" s="3">
        <v>0.24370709382151</v>
      </c>
      <c r="K867" s="21">
        <v>1365.93896713615</v>
      </c>
      <c r="L867" s="21">
        <v>41563.5714285714</v>
      </c>
      <c r="M867" s="21">
        <v>124.857142857143</v>
      </c>
      <c r="N867" s="2" t="s">
        <v>80</v>
      </c>
    </row>
    <row r="868" s="2" customFormat="1" spans="1:14">
      <c r="A868" s="20">
        <v>45894</v>
      </c>
      <c r="B868" s="2" t="s">
        <v>88</v>
      </c>
      <c r="C868" s="2" t="s">
        <v>89</v>
      </c>
      <c r="D868" s="2">
        <v>2</v>
      </c>
      <c r="E868" s="2">
        <v>523</v>
      </c>
      <c r="F868" s="2">
        <v>146</v>
      </c>
      <c r="G868" s="2">
        <v>192004</v>
      </c>
      <c r="H868" s="2">
        <v>9</v>
      </c>
      <c r="I868" s="2" t="s">
        <v>78</v>
      </c>
      <c r="J868" s="3">
        <v>0.279158699808795</v>
      </c>
      <c r="K868" s="21">
        <v>1315.09589041096</v>
      </c>
      <c r="L868" s="21">
        <v>21333.7777777778</v>
      </c>
      <c r="M868" s="21">
        <v>58.1111111111111</v>
      </c>
      <c r="N868" s="2" t="s">
        <v>79</v>
      </c>
    </row>
    <row r="869" s="2" customFormat="1" spans="1:14">
      <c r="A869" s="20">
        <v>45895</v>
      </c>
      <c r="B869" s="2" t="s">
        <v>88</v>
      </c>
      <c r="C869" s="2" t="s">
        <v>89</v>
      </c>
      <c r="D869" s="2">
        <v>2</v>
      </c>
      <c r="E869" s="2">
        <v>709</v>
      </c>
      <c r="F869" s="2">
        <v>176</v>
      </c>
      <c r="G869" s="2">
        <v>205269</v>
      </c>
      <c r="H869" s="2">
        <v>7</v>
      </c>
      <c r="I869" s="2" t="s">
        <v>78</v>
      </c>
      <c r="J869" s="3">
        <v>0.248236953455571</v>
      </c>
      <c r="K869" s="21">
        <v>1166.30113636364</v>
      </c>
      <c r="L869" s="21">
        <v>29324.1428571429</v>
      </c>
      <c r="M869" s="21">
        <v>101.285714285714</v>
      </c>
      <c r="N869" s="2" t="s">
        <v>79</v>
      </c>
    </row>
    <row r="870" s="2" customFormat="1" spans="1:14">
      <c r="A870" s="20">
        <v>45896</v>
      </c>
      <c r="B870" s="2" t="s">
        <v>88</v>
      </c>
      <c r="C870" s="2" t="s">
        <v>89</v>
      </c>
      <c r="D870" s="2">
        <v>2</v>
      </c>
      <c r="E870" s="2">
        <v>474</v>
      </c>
      <c r="F870" s="2">
        <v>103</v>
      </c>
      <c r="G870" s="2">
        <v>141083</v>
      </c>
      <c r="H870" s="2">
        <v>5</v>
      </c>
      <c r="I870" s="2" t="s">
        <v>78</v>
      </c>
      <c r="J870" s="3">
        <v>0.217299578059072</v>
      </c>
      <c r="K870" s="21">
        <v>1369.73786407767</v>
      </c>
      <c r="L870" s="21">
        <v>28216.6</v>
      </c>
      <c r="M870" s="21">
        <v>94.8</v>
      </c>
      <c r="N870" s="2" t="s">
        <v>79</v>
      </c>
    </row>
    <row r="871" s="2" customFormat="1" spans="1:14">
      <c r="A871" s="20">
        <v>45897</v>
      </c>
      <c r="B871" s="2" t="s">
        <v>88</v>
      </c>
      <c r="C871" s="2" t="s">
        <v>89</v>
      </c>
      <c r="D871" s="2">
        <v>2</v>
      </c>
      <c r="E871" s="2">
        <v>545</v>
      </c>
      <c r="F871" s="2">
        <v>138</v>
      </c>
      <c r="G871" s="2">
        <v>212305</v>
      </c>
      <c r="H871" s="2">
        <v>7</v>
      </c>
      <c r="I871" s="2" t="s">
        <v>78</v>
      </c>
      <c r="J871" s="3">
        <v>0.253211009174312</v>
      </c>
      <c r="K871" s="21">
        <v>1538.44202898551</v>
      </c>
      <c r="L871" s="21">
        <v>30329.2857142857</v>
      </c>
      <c r="M871" s="21">
        <v>77.8571428571429</v>
      </c>
      <c r="N871" s="2" t="s">
        <v>79</v>
      </c>
    </row>
    <row r="872" s="2" customFormat="1" spans="1:14">
      <c r="A872" s="20">
        <v>45898</v>
      </c>
      <c r="B872" s="2" t="s">
        <v>88</v>
      </c>
      <c r="C872" s="2" t="s">
        <v>89</v>
      </c>
      <c r="D872" s="2">
        <v>2</v>
      </c>
      <c r="E872" s="2">
        <v>506</v>
      </c>
      <c r="F872" s="2">
        <v>130</v>
      </c>
      <c r="G872" s="2">
        <v>166583</v>
      </c>
      <c r="H872" s="2">
        <v>4</v>
      </c>
      <c r="I872" s="2" t="s">
        <v>78</v>
      </c>
      <c r="J872" s="3">
        <v>0.256916996047431</v>
      </c>
      <c r="K872" s="21">
        <v>1281.40769230769</v>
      </c>
      <c r="L872" s="21">
        <v>41645.75</v>
      </c>
      <c r="M872" s="21">
        <v>126.5</v>
      </c>
      <c r="N872" s="2" t="s">
        <v>79</v>
      </c>
    </row>
    <row r="873" s="2" customFormat="1" spans="1:14">
      <c r="A873" s="20">
        <v>45899</v>
      </c>
      <c r="B873" s="2" t="s">
        <v>88</v>
      </c>
      <c r="C873" s="2" t="s">
        <v>89</v>
      </c>
      <c r="D873" s="2">
        <v>2</v>
      </c>
      <c r="E873" s="2">
        <v>653</v>
      </c>
      <c r="F873" s="2">
        <v>165</v>
      </c>
      <c r="G873" s="2">
        <v>241184</v>
      </c>
      <c r="H873" s="2">
        <v>9</v>
      </c>
      <c r="I873" s="2" t="s">
        <v>81</v>
      </c>
      <c r="J873" s="3">
        <v>0.252679938744257</v>
      </c>
      <c r="K873" s="21">
        <v>1461.72121212121</v>
      </c>
      <c r="L873" s="21">
        <v>26798.2222222222</v>
      </c>
      <c r="M873" s="21">
        <v>72.5555555555556</v>
      </c>
      <c r="N873" s="2" t="s">
        <v>80</v>
      </c>
    </row>
    <row r="874" s="2" customFormat="1" spans="1:14">
      <c r="A874" s="20">
        <v>45900</v>
      </c>
      <c r="B874" s="2" t="s">
        <v>88</v>
      </c>
      <c r="C874" s="2" t="s">
        <v>89</v>
      </c>
      <c r="D874" s="2">
        <v>2</v>
      </c>
      <c r="E874" s="2">
        <v>868</v>
      </c>
      <c r="F874" s="2">
        <v>224</v>
      </c>
      <c r="G874" s="2">
        <v>264764</v>
      </c>
      <c r="H874" s="2">
        <v>8</v>
      </c>
      <c r="I874" s="2" t="s">
        <v>78</v>
      </c>
      <c r="J874" s="3">
        <v>0.258064516129032</v>
      </c>
      <c r="K874" s="21">
        <v>1181.98214285714</v>
      </c>
      <c r="L874" s="21">
        <v>33095.5</v>
      </c>
      <c r="M874" s="21">
        <v>108.5</v>
      </c>
      <c r="N874" s="2" t="s">
        <v>80</v>
      </c>
    </row>
    <row r="875" s="2" customFormat="1" spans="1:14">
      <c r="A875" s="20">
        <v>45901</v>
      </c>
      <c r="B875" s="2" t="s">
        <v>88</v>
      </c>
      <c r="C875" s="2" t="s">
        <v>89</v>
      </c>
      <c r="D875" s="2">
        <v>2</v>
      </c>
      <c r="E875" s="2">
        <v>621</v>
      </c>
      <c r="F875" s="2">
        <v>163</v>
      </c>
      <c r="G875" s="2">
        <v>199737</v>
      </c>
      <c r="H875" s="2">
        <v>5</v>
      </c>
      <c r="I875" s="2" t="s">
        <v>78</v>
      </c>
      <c r="J875" s="3">
        <v>0.262479871175523</v>
      </c>
      <c r="K875" s="21">
        <v>1225.38036809816</v>
      </c>
      <c r="L875" s="21">
        <v>39947.4</v>
      </c>
      <c r="M875" s="21">
        <v>124.2</v>
      </c>
      <c r="N875" s="2" t="s">
        <v>79</v>
      </c>
    </row>
    <row r="876" s="2" customFormat="1" spans="1:14">
      <c r="A876" s="20">
        <v>45902</v>
      </c>
      <c r="B876" s="2" t="s">
        <v>88</v>
      </c>
      <c r="C876" s="2" t="s">
        <v>89</v>
      </c>
      <c r="D876" s="2">
        <v>2</v>
      </c>
      <c r="E876" s="2">
        <v>626</v>
      </c>
      <c r="F876" s="2">
        <v>172</v>
      </c>
      <c r="G876" s="2">
        <v>218208</v>
      </c>
      <c r="H876" s="2">
        <v>7</v>
      </c>
      <c r="I876" s="2" t="s">
        <v>78</v>
      </c>
      <c r="J876" s="3">
        <v>0.274760383386581</v>
      </c>
      <c r="K876" s="21">
        <v>1268.6511627907</v>
      </c>
      <c r="L876" s="21">
        <v>31172.5714285714</v>
      </c>
      <c r="M876" s="21">
        <v>89.4285714285714</v>
      </c>
      <c r="N876" s="2" t="s">
        <v>79</v>
      </c>
    </row>
    <row r="877" s="2" customFormat="1" spans="1:14">
      <c r="A877" s="20">
        <v>45903</v>
      </c>
      <c r="B877" s="2" t="s">
        <v>88</v>
      </c>
      <c r="C877" s="2" t="s">
        <v>89</v>
      </c>
      <c r="D877" s="2">
        <v>2</v>
      </c>
      <c r="E877" s="2">
        <v>584</v>
      </c>
      <c r="F877" s="2">
        <v>131</v>
      </c>
      <c r="G877" s="2">
        <v>178664</v>
      </c>
      <c r="H877" s="2">
        <v>5</v>
      </c>
      <c r="I877" s="2" t="s">
        <v>78</v>
      </c>
      <c r="J877" s="3">
        <v>0.224315068493151</v>
      </c>
      <c r="K877" s="21">
        <v>1363.84732824428</v>
      </c>
      <c r="L877" s="21">
        <v>35732.8</v>
      </c>
      <c r="M877" s="21">
        <v>116.8</v>
      </c>
      <c r="N877" s="2" t="s">
        <v>79</v>
      </c>
    </row>
    <row r="878" s="2" customFormat="1" spans="1:14">
      <c r="A878" s="20">
        <v>45904</v>
      </c>
      <c r="B878" s="2" t="s">
        <v>88</v>
      </c>
      <c r="C878" s="2" t="s">
        <v>89</v>
      </c>
      <c r="D878" s="2">
        <v>2</v>
      </c>
      <c r="E878" s="2">
        <v>634</v>
      </c>
      <c r="F878" s="2">
        <v>145</v>
      </c>
      <c r="G878" s="2">
        <v>199243</v>
      </c>
      <c r="H878" s="2">
        <v>7</v>
      </c>
      <c r="I878" s="2" t="s">
        <v>78</v>
      </c>
      <c r="J878" s="3">
        <v>0.228706624605678</v>
      </c>
      <c r="K878" s="21">
        <v>1374.08965517241</v>
      </c>
      <c r="L878" s="21">
        <v>28463.2857142857</v>
      </c>
      <c r="M878" s="21">
        <v>90.5714285714286</v>
      </c>
      <c r="N878" s="2" t="s">
        <v>79</v>
      </c>
    </row>
    <row r="879" s="2" customFormat="1" spans="1:14">
      <c r="A879" s="20">
        <v>45905</v>
      </c>
      <c r="B879" s="2" t="s">
        <v>88</v>
      </c>
      <c r="C879" s="2" t="s">
        <v>89</v>
      </c>
      <c r="D879" s="2">
        <v>2</v>
      </c>
      <c r="E879" s="2">
        <v>570</v>
      </c>
      <c r="F879" s="2">
        <v>136</v>
      </c>
      <c r="G879" s="2">
        <v>220374</v>
      </c>
      <c r="H879" s="2">
        <v>9</v>
      </c>
      <c r="I879" s="2" t="s">
        <v>81</v>
      </c>
      <c r="J879" s="3">
        <v>0.23859649122807</v>
      </c>
      <c r="K879" s="21">
        <v>1620.39705882353</v>
      </c>
      <c r="L879" s="21">
        <v>24486</v>
      </c>
      <c r="M879" s="21">
        <v>63.3333333333333</v>
      </c>
      <c r="N879" s="2" t="s">
        <v>79</v>
      </c>
    </row>
    <row r="880" s="2" customFormat="1" spans="1:14">
      <c r="A880" s="20">
        <v>45906</v>
      </c>
      <c r="B880" s="2" t="s">
        <v>88</v>
      </c>
      <c r="C880" s="2" t="s">
        <v>89</v>
      </c>
      <c r="D880" s="2">
        <v>2</v>
      </c>
      <c r="E880" s="2">
        <v>920</v>
      </c>
      <c r="F880" s="2">
        <v>229</v>
      </c>
      <c r="G880" s="2">
        <v>330755</v>
      </c>
      <c r="H880" s="2">
        <v>7</v>
      </c>
      <c r="I880" s="2" t="s">
        <v>78</v>
      </c>
      <c r="J880" s="3">
        <v>0.248913043478261</v>
      </c>
      <c r="K880" s="21">
        <v>1444.34497816594</v>
      </c>
      <c r="L880" s="21">
        <v>47250.7142857143</v>
      </c>
      <c r="M880" s="21">
        <v>131.428571428571</v>
      </c>
      <c r="N880" s="2" t="s">
        <v>80</v>
      </c>
    </row>
    <row r="881" s="2" customFormat="1" spans="1:14">
      <c r="A881" s="20">
        <v>45907</v>
      </c>
      <c r="B881" s="2" t="s">
        <v>88</v>
      </c>
      <c r="C881" s="2" t="s">
        <v>89</v>
      </c>
      <c r="D881" s="2">
        <v>2</v>
      </c>
      <c r="E881" s="2">
        <v>903</v>
      </c>
      <c r="F881" s="2">
        <v>236</v>
      </c>
      <c r="G881" s="2">
        <v>310989</v>
      </c>
      <c r="H881" s="2">
        <v>7</v>
      </c>
      <c r="I881" s="2" t="s">
        <v>81</v>
      </c>
      <c r="J881" s="3">
        <v>0.261351052048726</v>
      </c>
      <c r="K881" s="21">
        <v>1317.75</v>
      </c>
      <c r="L881" s="21">
        <v>44427</v>
      </c>
      <c r="M881" s="21">
        <v>129</v>
      </c>
      <c r="N881" s="2" t="s">
        <v>80</v>
      </c>
    </row>
    <row r="882" s="2" customFormat="1" spans="1:14">
      <c r="A882" s="20">
        <v>45908</v>
      </c>
      <c r="B882" s="2" t="s">
        <v>88</v>
      </c>
      <c r="C882" s="2" t="s">
        <v>89</v>
      </c>
      <c r="D882" s="2">
        <v>2</v>
      </c>
      <c r="E882" s="2">
        <v>474</v>
      </c>
      <c r="F882" s="2">
        <v>122</v>
      </c>
      <c r="G882" s="2">
        <v>148968</v>
      </c>
      <c r="H882" s="2">
        <v>5</v>
      </c>
      <c r="I882" s="2" t="s">
        <v>81</v>
      </c>
      <c r="J882" s="3">
        <v>0.257383966244726</v>
      </c>
      <c r="K882" s="21">
        <v>1221.04918032787</v>
      </c>
      <c r="L882" s="21">
        <v>29793.6</v>
      </c>
      <c r="M882" s="21">
        <v>94.8</v>
      </c>
      <c r="N882" s="2" t="s">
        <v>79</v>
      </c>
    </row>
    <row r="883" s="2" customFormat="1" spans="1:14">
      <c r="A883" s="20">
        <v>45909</v>
      </c>
      <c r="B883" s="2" t="s">
        <v>88</v>
      </c>
      <c r="C883" s="2" t="s">
        <v>89</v>
      </c>
      <c r="D883" s="2">
        <v>2</v>
      </c>
      <c r="E883" s="2">
        <v>660</v>
      </c>
      <c r="F883" s="2">
        <v>165</v>
      </c>
      <c r="G883" s="2">
        <v>234398</v>
      </c>
      <c r="H883" s="2">
        <v>7</v>
      </c>
      <c r="I883" s="2" t="s">
        <v>78</v>
      </c>
      <c r="J883" s="3">
        <v>0.25</v>
      </c>
      <c r="K883" s="21">
        <v>1420.59393939394</v>
      </c>
      <c r="L883" s="21">
        <v>33485.4285714286</v>
      </c>
      <c r="M883" s="21">
        <v>94.2857142857143</v>
      </c>
      <c r="N883" s="2" t="s">
        <v>79</v>
      </c>
    </row>
    <row r="884" s="2" customFormat="1" spans="1:14">
      <c r="A884" s="20">
        <v>45910</v>
      </c>
      <c r="B884" s="2" t="s">
        <v>88</v>
      </c>
      <c r="C884" s="2" t="s">
        <v>89</v>
      </c>
      <c r="D884" s="2">
        <v>2</v>
      </c>
      <c r="E884" s="2">
        <v>612</v>
      </c>
      <c r="F884" s="2">
        <v>152</v>
      </c>
      <c r="G884" s="2">
        <v>215681</v>
      </c>
      <c r="H884" s="2">
        <v>6</v>
      </c>
      <c r="I884" s="2" t="s">
        <v>78</v>
      </c>
      <c r="J884" s="3">
        <v>0.248366013071895</v>
      </c>
      <c r="K884" s="21">
        <v>1418.95394736842</v>
      </c>
      <c r="L884" s="21">
        <v>35946.8333333333</v>
      </c>
      <c r="M884" s="21">
        <v>102</v>
      </c>
      <c r="N884" s="2" t="s">
        <v>79</v>
      </c>
    </row>
    <row r="885" s="2" customFormat="1" spans="1:14">
      <c r="A885" s="20">
        <v>45911</v>
      </c>
      <c r="B885" s="2" t="s">
        <v>88</v>
      </c>
      <c r="C885" s="2" t="s">
        <v>89</v>
      </c>
      <c r="D885" s="2">
        <v>2</v>
      </c>
      <c r="E885" s="2">
        <v>536</v>
      </c>
      <c r="F885" s="2">
        <v>132</v>
      </c>
      <c r="G885" s="2">
        <v>196495</v>
      </c>
      <c r="H885" s="2">
        <v>5</v>
      </c>
      <c r="I885" s="2" t="s">
        <v>78</v>
      </c>
      <c r="J885" s="3">
        <v>0.246268656716418</v>
      </c>
      <c r="K885" s="21">
        <v>1488.59848484848</v>
      </c>
      <c r="L885" s="21">
        <v>39299</v>
      </c>
      <c r="M885" s="21">
        <v>107.2</v>
      </c>
      <c r="N885" s="2" t="s">
        <v>79</v>
      </c>
    </row>
    <row r="886" s="2" customFormat="1" spans="1:14">
      <c r="A886" s="20">
        <v>45912</v>
      </c>
      <c r="B886" s="2" t="s">
        <v>88</v>
      </c>
      <c r="C886" s="2" t="s">
        <v>89</v>
      </c>
      <c r="D886" s="2">
        <v>2</v>
      </c>
      <c r="E886" s="2">
        <v>610</v>
      </c>
      <c r="F886" s="2">
        <v>163</v>
      </c>
      <c r="G886" s="2">
        <v>265214</v>
      </c>
      <c r="H886" s="2">
        <v>6</v>
      </c>
      <c r="I886" s="2" t="s">
        <v>78</v>
      </c>
      <c r="J886" s="3">
        <v>0.267213114754098</v>
      </c>
      <c r="K886" s="21">
        <v>1627.07975460123</v>
      </c>
      <c r="L886" s="21">
        <v>44202.3333333333</v>
      </c>
      <c r="M886" s="21">
        <v>101.666666666667</v>
      </c>
      <c r="N886" s="2" t="s">
        <v>79</v>
      </c>
    </row>
    <row r="887" s="2" customFormat="1" spans="1:14">
      <c r="A887" s="20">
        <v>45913</v>
      </c>
      <c r="B887" s="2" t="s">
        <v>88</v>
      </c>
      <c r="C887" s="2" t="s">
        <v>89</v>
      </c>
      <c r="D887" s="2">
        <v>2</v>
      </c>
      <c r="E887" s="2">
        <v>1148</v>
      </c>
      <c r="F887" s="2">
        <v>282</v>
      </c>
      <c r="G887" s="2">
        <v>426018</v>
      </c>
      <c r="H887" s="2">
        <v>8</v>
      </c>
      <c r="I887" s="2" t="s">
        <v>81</v>
      </c>
      <c r="J887" s="3">
        <v>0.245644599303136</v>
      </c>
      <c r="K887" s="21">
        <v>1510.70212765957</v>
      </c>
      <c r="L887" s="21">
        <v>53252.25</v>
      </c>
      <c r="M887" s="21">
        <v>143.5</v>
      </c>
      <c r="N887" s="2" t="s">
        <v>80</v>
      </c>
    </row>
    <row r="888" s="2" customFormat="1" spans="1:14">
      <c r="A888" s="20">
        <v>45914</v>
      </c>
      <c r="B888" s="2" t="s">
        <v>88</v>
      </c>
      <c r="C888" s="2" t="s">
        <v>89</v>
      </c>
      <c r="D888" s="2">
        <v>2</v>
      </c>
      <c r="E888" s="2">
        <v>844</v>
      </c>
      <c r="F888" s="2">
        <v>189</v>
      </c>
      <c r="G888" s="2">
        <v>262945</v>
      </c>
      <c r="H888" s="2">
        <v>6</v>
      </c>
      <c r="I888" s="2" t="s">
        <v>78</v>
      </c>
      <c r="J888" s="3">
        <v>0.2239336492891</v>
      </c>
      <c r="K888" s="21">
        <v>1391.24338624339</v>
      </c>
      <c r="L888" s="21">
        <v>43824.1666666667</v>
      </c>
      <c r="M888" s="21">
        <v>140.666666666667</v>
      </c>
      <c r="N888" s="2" t="s">
        <v>80</v>
      </c>
    </row>
    <row r="889" s="2" customFormat="1" spans="1:14">
      <c r="A889" s="20">
        <v>45915</v>
      </c>
      <c r="B889" s="2" t="s">
        <v>88</v>
      </c>
      <c r="C889" s="2" t="s">
        <v>89</v>
      </c>
      <c r="D889" s="2">
        <v>2</v>
      </c>
      <c r="E889" s="2">
        <v>622</v>
      </c>
      <c r="F889" s="2">
        <v>168</v>
      </c>
      <c r="G889" s="2">
        <v>233325</v>
      </c>
      <c r="H889" s="2">
        <v>9</v>
      </c>
      <c r="I889" s="2" t="s">
        <v>78</v>
      </c>
      <c r="J889" s="3">
        <v>0.270096463022508</v>
      </c>
      <c r="K889" s="21">
        <v>1388.83928571429</v>
      </c>
      <c r="L889" s="21">
        <v>25925</v>
      </c>
      <c r="M889" s="21">
        <v>69.1111111111111</v>
      </c>
      <c r="N889" s="2" t="s">
        <v>79</v>
      </c>
    </row>
    <row r="890" s="2" customFormat="1" spans="1:14">
      <c r="A890" s="20">
        <v>45916</v>
      </c>
      <c r="B890" s="2" t="s">
        <v>88</v>
      </c>
      <c r="C890" s="2" t="s">
        <v>89</v>
      </c>
      <c r="D890" s="2">
        <v>2</v>
      </c>
      <c r="E890" s="2">
        <v>616</v>
      </c>
      <c r="F890" s="2">
        <v>148</v>
      </c>
      <c r="G890" s="2">
        <v>187097</v>
      </c>
      <c r="H890" s="2">
        <v>6</v>
      </c>
      <c r="I890" s="2" t="s">
        <v>78</v>
      </c>
      <c r="J890" s="3">
        <v>0.24025974025974</v>
      </c>
      <c r="K890" s="21">
        <v>1264.16891891892</v>
      </c>
      <c r="L890" s="21">
        <v>31182.8333333333</v>
      </c>
      <c r="M890" s="21">
        <v>102.666666666667</v>
      </c>
      <c r="N890" s="2" t="s">
        <v>79</v>
      </c>
    </row>
    <row r="891" s="2" customFormat="1" spans="1:14">
      <c r="A891" s="20">
        <v>45917</v>
      </c>
      <c r="B891" s="2" t="s">
        <v>88</v>
      </c>
      <c r="C891" s="2" t="s">
        <v>89</v>
      </c>
      <c r="D891" s="2">
        <v>2</v>
      </c>
      <c r="E891" s="2">
        <v>583</v>
      </c>
      <c r="F891" s="2">
        <v>153</v>
      </c>
      <c r="G891" s="2">
        <v>176077</v>
      </c>
      <c r="H891" s="2">
        <v>5</v>
      </c>
      <c r="I891" s="2" t="s">
        <v>78</v>
      </c>
      <c r="J891" s="3">
        <v>0.262435677530017</v>
      </c>
      <c r="K891" s="21">
        <v>1150.83006535948</v>
      </c>
      <c r="L891" s="21">
        <v>35215.4</v>
      </c>
      <c r="M891" s="21">
        <v>116.6</v>
      </c>
      <c r="N891" s="2" t="s">
        <v>79</v>
      </c>
    </row>
    <row r="892" s="2" customFormat="1" spans="1:14">
      <c r="A892" s="20">
        <v>45918</v>
      </c>
      <c r="B892" s="2" t="s">
        <v>88</v>
      </c>
      <c r="C892" s="2" t="s">
        <v>89</v>
      </c>
      <c r="D892" s="2">
        <v>2</v>
      </c>
      <c r="E892" s="2">
        <v>605</v>
      </c>
      <c r="F892" s="2">
        <v>160</v>
      </c>
      <c r="G892" s="2">
        <v>246745</v>
      </c>
      <c r="H892" s="2">
        <v>6</v>
      </c>
      <c r="I892" s="2" t="s">
        <v>81</v>
      </c>
      <c r="J892" s="3">
        <v>0.264462809917355</v>
      </c>
      <c r="K892" s="21">
        <v>1542.15625</v>
      </c>
      <c r="L892" s="21">
        <v>41124.1666666667</v>
      </c>
      <c r="M892" s="21">
        <v>100.833333333333</v>
      </c>
      <c r="N892" s="2" t="s">
        <v>79</v>
      </c>
    </row>
    <row r="893" s="2" customFormat="1" spans="1:14">
      <c r="A893" s="20">
        <v>45919</v>
      </c>
      <c r="B893" s="2" t="s">
        <v>88</v>
      </c>
      <c r="C893" s="2" t="s">
        <v>89</v>
      </c>
      <c r="D893" s="2">
        <v>2</v>
      </c>
      <c r="E893" s="2">
        <v>563</v>
      </c>
      <c r="F893" s="2">
        <v>149</v>
      </c>
      <c r="G893" s="2">
        <v>188311</v>
      </c>
      <c r="H893" s="2">
        <v>6</v>
      </c>
      <c r="I893" s="2" t="s">
        <v>78</v>
      </c>
      <c r="J893" s="3">
        <v>0.264653641207815</v>
      </c>
      <c r="K893" s="21">
        <v>1263.8322147651</v>
      </c>
      <c r="L893" s="21">
        <v>31385.1666666667</v>
      </c>
      <c r="M893" s="21">
        <v>93.8333333333333</v>
      </c>
      <c r="N893" s="2" t="s">
        <v>79</v>
      </c>
    </row>
    <row r="894" s="2" customFormat="1" spans="1:14">
      <c r="A894" s="20">
        <v>45920</v>
      </c>
      <c r="B894" s="2" t="s">
        <v>88</v>
      </c>
      <c r="C894" s="2" t="s">
        <v>89</v>
      </c>
      <c r="D894" s="2">
        <v>2</v>
      </c>
      <c r="E894" s="2">
        <v>989</v>
      </c>
      <c r="F894" s="2">
        <v>263</v>
      </c>
      <c r="G894" s="2">
        <v>427488</v>
      </c>
      <c r="H894" s="2">
        <v>9</v>
      </c>
      <c r="I894" s="2" t="s">
        <v>78</v>
      </c>
      <c r="J894" s="3">
        <v>0.26592517694641</v>
      </c>
      <c r="K894" s="21">
        <v>1625.42965779468</v>
      </c>
      <c r="L894" s="21">
        <v>47498.6666666667</v>
      </c>
      <c r="M894" s="21">
        <v>109.888888888889</v>
      </c>
      <c r="N894" s="2" t="s">
        <v>80</v>
      </c>
    </row>
    <row r="895" s="2" customFormat="1" spans="1:14">
      <c r="A895" s="20">
        <v>45921</v>
      </c>
      <c r="B895" s="2" t="s">
        <v>88</v>
      </c>
      <c r="C895" s="2" t="s">
        <v>89</v>
      </c>
      <c r="D895" s="2">
        <v>2</v>
      </c>
      <c r="E895" s="2">
        <v>957</v>
      </c>
      <c r="F895" s="2">
        <v>253</v>
      </c>
      <c r="G895" s="2">
        <v>418773</v>
      </c>
      <c r="H895" s="2">
        <v>7</v>
      </c>
      <c r="I895" s="2" t="s">
        <v>81</v>
      </c>
      <c r="J895" s="3">
        <v>0.264367816091954</v>
      </c>
      <c r="K895" s="21">
        <v>1655.22924901186</v>
      </c>
      <c r="L895" s="21">
        <v>59824.7142857143</v>
      </c>
      <c r="M895" s="21">
        <v>136.714285714286</v>
      </c>
      <c r="N895" s="2" t="s">
        <v>80</v>
      </c>
    </row>
    <row r="896" s="2" customFormat="1" spans="1:14">
      <c r="A896" s="20">
        <v>45922</v>
      </c>
      <c r="B896" s="2" t="s">
        <v>88</v>
      </c>
      <c r="C896" s="2" t="s">
        <v>89</v>
      </c>
      <c r="D896" s="2">
        <v>2</v>
      </c>
      <c r="E896" s="2">
        <v>624</v>
      </c>
      <c r="F896" s="2">
        <v>151</v>
      </c>
      <c r="G896" s="2">
        <v>216876</v>
      </c>
      <c r="H896" s="2">
        <v>6</v>
      </c>
      <c r="I896" s="2" t="s">
        <v>78</v>
      </c>
      <c r="J896" s="3">
        <v>0.241987179487179</v>
      </c>
      <c r="K896" s="21">
        <v>1436.26490066225</v>
      </c>
      <c r="L896" s="21">
        <v>36146</v>
      </c>
      <c r="M896" s="21">
        <v>104</v>
      </c>
      <c r="N896" s="2" t="s">
        <v>79</v>
      </c>
    </row>
    <row r="897" s="2" customFormat="1" spans="1:14">
      <c r="A897" s="20">
        <v>45923</v>
      </c>
      <c r="B897" s="2" t="s">
        <v>88</v>
      </c>
      <c r="C897" s="2" t="s">
        <v>89</v>
      </c>
      <c r="D897" s="2">
        <v>2</v>
      </c>
      <c r="E897" s="2">
        <v>693</v>
      </c>
      <c r="F897" s="2">
        <v>188</v>
      </c>
      <c r="G897" s="2">
        <v>231216</v>
      </c>
      <c r="H897" s="2">
        <v>8</v>
      </c>
      <c r="I897" s="2" t="s">
        <v>78</v>
      </c>
      <c r="J897" s="3">
        <v>0.271284271284271</v>
      </c>
      <c r="K897" s="21">
        <v>1229.87234042553</v>
      </c>
      <c r="L897" s="21">
        <v>28902</v>
      </c>
      <c r="M897" s="21">
        <v>86.625</v>
      </c>
      <c r="N897" s="2" t="s">
        <v>79</v>
      </c>
    </row>
    <row r="898" s="2" customFormat="1" spans="1:14">
      <c r="A898" s="20">
        <v>45924</v>
      </c>
      <c r="B898" s="2" t="s">
        <v>88</v>
      </c>
      <c r="C898" s="2" t="s">
        <v>89</v>
      </c>
      <c r="D898" s="2">
        <v>2</v>
      </c>
      <c r="E898" s="2">
        <v>710</v>
      </c>
      <c r="F898" s="2">
        <v>189</v>
      </c>
      <c r="G898" s="2">
        <v>294259</v>
      </c>
      <c r="H898" s="2">
        <v>7</v>
      </c>
      <c r="I898" s="2" t="s">
        <v>78</v>
      </c>
      <c r="J898" s="3">
        <v>0.266197183098592</v>
      </c>
      <c r="K898" s="21">
        <v>1556.92592592593</v>
      </c>
      <c r="L898" s="21">
        <v>42037</v>
      </c>
      <c r="M898" s="21">
        <v>101.428571428571</v>
      </c>
      <c r="N898" s="2" t="s">
        <v>79</v>
      </c>
    </row>
    <row r="899" s="2" customFormat="1" spans="1:14">
      <c r="A899" s="20">
        <v>45925</v>
      </c>
      <c r="B899" s="2" t="s">
        <v>88</v>
      </c>
      <c r="C899" s="2" t="s">
        <v>89</v>
      </c>
      <c r="D899" s="2">
        <v>2</v>
      </c>
      <c r="E899" s="2">
        <v>637</v>
      </c>
      <c r="F899" s="2">
        <v>164</v>
      </c>
      <c r="G899" s="2">
        <v>250120</v>
      </c>
      <c r="H899" s="2">
        <v>5</v>
      </c>
      <c r="I899" s="2" t="s">
        <v>78</v>
      </c>
      <c r="J899" s="3">
        <v>0.2574568288854</v>
      </c>
      <c r="K899" s="21">
        <v>1525.12195121951</v>
      </c>
      <c r="L899" s="21">
        <v>50024</v>
      </c>
      <c r="M899" s="21">
        <v>127.4</v>
      </c>
      <c r="N899" s="2" t="s">
        <v>79</v>
      </c>
    </row>
    <row r="900" s="2" customFormat="1" spans="1:14">
      <c r="A900" s="20">
        <v>45926</v>
      </c>
      <c r="B900" s="2" t="s">
        <v>88</v>
      </c>
      <c r="C900" s="2" t="s">
        <v>89</v>
      </c>
      <c r="D900" s="2">
        <v>2</v>
      </c>
      <c r="E900" s="2">
        <v>659</v>
      </c>
      <c r="F900" s="2">
        <v>159</v>
      </c>
      <c r="G900" s="2">
        <v>221570</v>
      </c>
      <c r="H900" s="2">
        <v>9</v>
      </c>
      <c r="I900" s="2" t="s">
        <v>78</v>
      </c>
      <c r="J900" s="3">
        <v>0.241274658573596</v>
      </c>
      <c r="K900" s="21">
        <v>1393.52201257862</v>
      </c>
      <c r="L900" s="21">
        <v>24618.8888888889</v>
      </c>
      <c r="M900" s="21">
        <v>73.2222222222222</v>
      </c>
      <c r="N900" s="2" t="s">
        <v>79</v>
      </c>
    </row>
    <row r="901" s="2" customFormat="1" spans="1:14">
      <c r="A901" s="20">
        <v>45927</v>
      </c>
      <c r="B901" s="2" t="s">
        <v>88</v>
      </c>
      <c r="C901" s="2" t="s">
        <v>89</v>
      </c>
      <c r="D901" s="2">
        <v>2</v>
      </c>
      <c r="E901" s="2">
        <v>828</v>
      </c>
      <c r="F901" s="2">
        <v>224</v>
      </c>
      <c r="G901" s="2">
        <v>301920</v>
      </c>
      <c r="H901" s="2">
        <v>8</v>
      </c>
      <c r="I901" s="2" t="s">
        <v>78</v>
      </c>
      <c r="J901" s="3">
        <v>0.270531400966184</v>
      </c>
      <c r="K901" s="21">
        <v>1347.85714285714</v>
      </c>
      <c r="L901" s="21">
        <v>37740</v>
      </c>
      <c r="M901" s="21">
        <v>103.5</v>
      </c>
      <c r="N901" s="2" t="s">
        <v>80</v>
      </c>
    </row>
    <row r="902" s="2" customFormat="1" spans="1:14">
      <c r="A902" s="20">
        <v>45748</v>
      </c>
      <c r="B902" s="2" t="s">
        <v>90</v>
      </c>
      <c r="C902" s="2" t="s">
        <v>91</v>
      </c>
      <c r="D902" s="2">
        <v>2</v>
      </c>
      <c r="E902" s="2">
        <v>542</v>
      </c>
      <c r="F902" s="2">
        <v>70</v>
      </c>
      <c r="G902" s="2">
        <v>109890</v>
      </c>
      <c r="H902" s="2">
        <v>6</v>
      </c>
      <c r="I902" s="2" t="s">
        <v>78</v>
      </c>
      <c r="J902" s="3">
        <v>0.129151291512915</v>
      </c>
      <c r="K902" s="21">
        <v>1569.85714285714</v>
      </c>
      <c r="L902" s="21">
        <v>18315</v>
      </c>
      <c r="M902" s="21">
        <v>90.3333333333333</v>
      </c>
      <c r="N902" s="2" t="s">
        <v>79</v>
      </c>
    </row>
    <row r="903" s="2" customFormat="1" spans="1:14">
      <c r="A903" s="20">
        <v>45749</v>
      </c>
      <c r="B903" s="2" t="s">
        <v>90</v>
      </c>
      <c r="C903" s="2" t="s">
        <v>91</v>
      </c>
      <c r="D903" s="2">
        <v>2</v>
      </c>
      <c r="E903" s="2">
        <v>479</v>
      </c>
      <c r="F903" s="2">
        <v>63</v>
      </c>
      <c r="G903" s="2">
        <v>86427</v>
      </c>
      <c r="H903" s="2">
        <v>9</v>
      </c>
      <c r="I903" s="2" t="s">
        <v>78</v>
      </c>
      <c r="J903" s="3">
        <v>0.131524008350731</v>
      </c>
      <c r="K903" s="21">
        <v>1371.85714285714</v>
      </c>
      <c r="L903" s="21">
        <v>9603</v>
      </c>
      <c r="M903" s="21">
        <v>53.2222222222222</v>
      </c>
      <c r="N903" s="2" t="s">
        <v>79</v>
      </c>
    </row>
    <row r="904" s="2" customFormat="1" spans="1:14">
      <c r="A904" s="20">
        <v>45750</v>
      </c>
      <c r="B904" s="2" t="s">
        <v>90</v>
      </c>
      <c r="C904" s="2" t="s">
        <v>91</v>
      </c>
      <c r="D904" s="2">
        <v>2</v>
      </c>
      <c r="E904" s="2">
        <v>470</v>
      </c>
      <c r="F904" s="2">
        <v>57</v>
      </c>
      <c r="G904" s="2">
        <v>88482</v>
      </c>
      <c r="H904" s="2">
        <v>7</v>
      </c>
      <c r="I904" s="2" t="s">
        <v>78</v>
      </c>
      <c r="J904" s="3">
        <v>0.121276595744681</v>
      </c>
      <c r="K904" s="21">
        <v>1552.31578947368</v>
      </c>
      <c r="L904" s="21">
        <v>12640.2857142857</v>
      </c>
      <c r="M904" s="21">
        <v>67.1428571428571</v>
      </c>
      <c r="N904" s="2" t="s">
        <v>79</v>
      </c>
    </row>
    <row r="905" s="2" customFormat="1" spans="1:14">
      <c r="A905" s="20">
        <v>45751</v>
      </c>
      <c r="B905" s="2" t="s">
        <v>90</v>
      </c>
      <c r="C905" s="2" t="s">
        <v>91</v>
      </c>
      <c r="D905" s="2">
        <v>2</v>
      </c>
      <c r="E905" s="2">
        <v>573</v>
      </c>
      <c r="F905" s="2">
        <v>69</v>
      </c>
      <c r="G905" s="2">
        <v>101789</v>
      </c>
      <c r="H905" s="2">
        <v>7</v>
      </c>
      <c r="I905" s="2" t="s">
        <v>81</v>
      </c>
      <c r="J905" s="3">
        <v>0.120418848167539</v>
      </c>
      <c r="K905" s="21">
        <v>1475.20289855072</v>
      </c>
      <c r="L905" s="21">
        <v>14541.2857142857</v>
      </c>
      <c r="M905" s="21">
        <v>81.8571428571429</v>
      </c>
      <c r="N905" s="2" t="s">
        <v>79</v>
      </c>
    </row>
    <row r="906" s="2" customFormat="1" spans="1:14">
      <c r="A906" s="20">
        <v>45752</v>
      </c>
      <c r="B906" s="2" t="s">
        <v>90</v>
      </c>
      <c r="C906" s="2" t="s">
        <v>91</v>
      </c>
      <c r="D906" s="2">
        <v>2</v>
      </c>
      <c r="E906" s="2">
        <v>895</v>
      </c>
      <c r="F906" s="2">
        <v>125</v>
      </c>
      <c r="G906" s="2">
        <v>156315</v>
      </c>
      <c r="H906" s="2">
        <v>7</v>
      </c>
      <c r="I906" s="2" t="s">
        <v>78</v>
      </c>
      <c r="J906" s="3">
        <v>0.139664804469274</v>
      </c>
      <c r="K906" s="21">
        <v>1250.52</v>
      </c>
      <c r="L906" s="21">
        <v>22330.7142857143</v>
      </c>
      <c r="M906" s="21">
        <v>127.857142857143</v>
      </c>
      <c r="N906" s="2" t="s">
        <v>80</v>
      </c>
    </row>
    <row r="907" s="2" customFormat="1" spans="1:14">
      <c r="A907" s="20">
        <v>45753</v>
      </c>
      <c r="B907" s="2" t="s">
        <v>90</v>
      </c>
      <c r="C907" s="2" t="s">
        <v>91</v>
      </c>
      <c r="D907" s="2">
        <v>2</v>
      </c>
      <c r="E907" s="2">
        <v>632</v>
      </c>
      <c r="F907" s="2">
        <v>90</v>
      </c>
      <c r="G907" s="2">
        <v>100800</v>
      </c>
      <c r="H907" s="2">
        <v>7</v>
      </c>
      <c r="I907" s="2" t="s">
        <v>78</v>
      </c>
      <c r="J907" s="3">
        <v>0.142405063291139</v>
      </c>
      <c r="K907" s="21">
        <v>1120</v>
      </c>
      <c r="L907" s="21">
        <v>14400</v>
      </c>
      <c r="M907" s="21">
        <v>90.2857142857143</v>
      </c>
      <c r="N907" s="2" t="s">
        <v>80</v>
      </c>
    </row>
    <row r="908" s="2" customFormat="1" spans="1:14">
      <c r="A908" s="20">
        <v>45754</v>
      </c>
      <c r="B908" s="2" t="s">
        <v>90</v>
      </c>
      <c r="C908" s="2" t="s">
        <v>91</v>
      </c>
      <c r="D908" s="2">
        <v>2</v>
      </c>
      <c r="E908" s="2">
        <v>592</v>
      </c>
      <c r="F908" s="2">
        <v>81</v>
      </c>
      <c r="G908" s="2">
        <v>118165</v>
      </c>
      <c r="H908" s="2">
        <v>8</v>
      </c>
      <c r="I908" s="2" t="s">
        <v>78</v>
      </c>
      <c r="J908" s="3">
        <v>0.136824324324324</v>
      </c>
      <c r="K908" s="21">
        <v>1458.82716049383</v>
      </c>
      <c r="L908" s="21">
        <v>14770.625</v>
      </c>
      <c r="M908" s="21">
        <v>74</v>
      </c>
      <c r="N908" s="2" t="s">
        <v>79</v>
      </c>
    </row>
    <row r="909" s="2" customFormat="1" spans="1:14">
      <c r="A909" s="20">
        <v>45755</v>
      </c>
      <c r="B909" s="2" t="s">
        <v>90</v>
      </c>
      <c r="C909" s="2" t="s">
        <v>91</v>
      </c>
      <c r="D909" s="2">
        <v>2</v>
      </c>
      <c r="E909" s="2">
        <v>460</v>
      </c>
      <c r="F909" s="2">
        <v>58</v>
      </c>
      <c r="G909" s="2">
        <v>95725</v>
      </c>
      <c r="H909" s="2">
        <v>7</v>
      </c>
      <c r="I909" s="2" t="s">
        <v>78</v>
      </c>
      <c r="J909" s="3">
        <v>0.126086956521739</v>
      </c>
      <c r="K909" s="21">
        <v>1650.43103448276</v>
      </c>
      <c r="L909" s="21">
        <v>13675</v>
      </c>
      <c r="M909" s="21">
        <v>65.7142857142857</v>
      </c>
      <c r="N909" s="2" t="s">
        <v>79</v>
      </c>
    </row>
    <row r="910" s="2" customFormat="1" spans="1:14">
      <c r="A910" s="20">
        <v>45756</v>
      </c>
      <c r="B910" s="2" t="s">
        <v>90</v>
      </c>
      <c r="C910" s="2" t="s">
        <v>91</v>
      </c>
      <c r="D910" s="2">
        <v>2</v>
      </c>
      <c r="E910" s="2">
        <v>460</v>
      </c>
      <c r="F910" s="2">
        <v>66</v>
      </c>
      <c r="G910" s="2">
        <v>77284</v>
      </c>
      <c r="H910" s="2">
        <v>6</v>
      </c>
      <c r="I910" s="2" t="s">
        <v>78</v>
      </c>
      <c r="J910" s="3">
        <v>0.143478260869565</v>
      </c>
      <c r="K910" s="21">
        <v>1170.9696969697</v>
      </c>
      <c r="L910" s="21">
        <v>12880.6666666667</v>
      </c>
      <c r="M910" s="21">
        <v>76.6666666666667</v>
      </c>
      <c r="N910" s="2" t="s">
        <v>79</v>
      </c>
    </row>
    <row r="911" s="2" customFormat="1" spans="1:14">
      <c r="A911" s="20">
        <v>45757</v>
      </c>
      <c r="B911" s="2" t="s">
        <v>90</v>
      </c>
      <c r="C911" s="2" t="s">
        <v>91</v>
      </c>
      <c r="D911" s="2">
        <v>2</v>
      </c>
      <c r="E911" s="2">
        <v>474</v>
      </c>
      <c r="F911" s="2">
        <v>59</v>
      </c>
      <c r="G911" s="2">
        <v>69395</v>
      </c>
      <c r="H911" s="2">
        <v>5</v>
      </c>
      <c r="I911" s="2" t="s">
        <v>78</v>
      </c>
      <c r="J911" s="3">
        <v>0.124472573839662</v>
      </c>
      <c r="K911" s="21">
        <v>1176.18644067797</v>
      </c>
      <c r="L911" s="21">
        <v>13879</v>
      </c>
      <c r="M911" s="21">
        <v>94.8</v>
      </c>
      <c r="N911" s="2" t="s">
        <v>79</v>
      </c>
    </row>
    <row r="912" s="2" customFormat="1" spans="1:14">
      <c r="A912" s="20">
        <v>45758</v>
      </c>
      <c r="B912" s="2" t="s">
        <v>90</v>
      </c>
      <c r="C912" s="2" t="s">
        <v>91</v>
      </c>
      <c r="D912" s="2">
        <v>2</v>
      </c>
      <c r="E912" s="2">
        <v>483</v>
      </c>
      <c r="F912" s="2">
        <v>67</v>
      </c>
      <c r="G912" s="2">
        <v>77102</v>
      </c>
      <c r="H912" s="2">
        <v>7</v>
      </c>
      <c r="I912" s="2" t="s">
        <v>81</v>
      </c>
      <c r="J912" s="3">
        <v>0.13871635610766</v>
      </c>
      <c r="K912" s="21">
        <v>1150.77611940298</v>
      </c>
      <c r="L912" s="21">
        <v>11014.5714285714</v>
      </c>
      <c r="M912" s="21">
        <v>69</v>
      </c>
      <c r="N912" s="2" t="s">
        <v>79</v>
      </c>
    </row>
    <row r="913" s="2" customFormat="1" spans="1:14">
      <c r="A913" s="20">
        <v>45759</v>
      </c>
      <c r="B913" s="2" t="s">
        <v>90</v>
      </c>
      <c r="C913" s="2" t="s">
        <v>91</v>
      </c>
      <c r="D913" s="2">
        <v>2</v>
      </c>
      <c r="E913" s="2">
        <v>740</v>
      </c>
      <c r="F913" s="2">
        <v>85</v>
      </c>
      <c r="G913" s="2">
        <v>95888</v>
      </c>
      <c r="H913" s="2">
        <v>4</v>
      </c>
      <c r="I913" s="2" t="s">
        <v>78</v>
      </c>
      <c r="J913" s="3">
        <v>0.114864864864865</v>
      </c>
      <c r="K913" s="21">
        <v>1128.09411764706</v>
      </c>
      <c r="L913" s="21">
        <v>23972</v>
      </c>
      <c r="M913" s="21">
        <v>185</v>
      </c>
      <c r="N913" s="2" t="s">
        <v>80</v>
      </c>
    </row>
    <row r="914" s="2" customFormat="1" spans="1:14">
      <c r="A914" s="20">
        <v>45760</v>
      </c>
      <c r="B914" s="2" t="s">
        <v>90</v>
      </c>
      <c r="C914" s="2" t="s">
        <v>91</v>
      </c>
      <c r="D914" s="2">
        <v>2</v>
      </c>
      <c r="E914" s="2">
        <v>629</v>
      </c>
      <c r="F914" s="2">
        <v>86</v>
      </c>
      <c r="G914" s="2">
        <v>132704</v>
      </c>
      <c r="H914" s="2">
        <v>6</v>
      </c>
      <c r="I914" s="2" t="s">
        <v>78</v>
      </c>
      <c r="J914" s="3">
        <v>0.136724960254372</v>
      </c>
      <c r="K914" s="21">
        <v>1543.06976744186</v>
      </c>
      <c r="L914" s="21">
        <v>22117.3333333333</v>
      </c>
      <c r="M914" s="21">
        <v>104.833333333333</v>
      </c>
      <c r="N914" s="2" t="s">
        <v>80</v>
      </c>
    </row>
    <row r="915" s="2" customFormat="1" spans="1:14">
      <c r="A915" s="20">
        <v>45761</v>
      </c>
      <c r="B915" s="2" t="s">
        <v>90</v>
      </c>
      <c r="C915" s="2" t="s">
        <v>91</v>
      </c>
      <c r="D915" s="2">
        <v>2</v>
      </c>
      <c r="E915" s="2">
        <v>436</v>
      </c>
      <c r="F915" s="2">
        <v>57</v>
      </c>
      <c r="G915" s="2">
        <v>77765</v>
      </c>
      <c r="H915" s="2">
        <v>8</v>
      </c>
      <c r="I915" s="2" t="s">
        <v>78</v>
      </c>
      <c r="J915" s="3">
        <v>0.130733944954128</v>
      </c>
      <c r="K915" s="21">
        <v>1364.29824561404</v>
      </c>
      <c r="L915" s="21">
        <v>9720.625</v>
      </c>
      <c r="M915" s="21">
        <v>54.5</v>
      </c>
      <c r="N915" s="2" t="s">
        <v>79</v>
      </c>
    </row>
    <row r="916" s="2" customFormat="1" spans="1:14">
      <c r="A916" s="20">
        <v>45762</v>
      </c>
      <c r="B916" s="2" t="s">
        <v>90</v>
      </c>
      <c r="C916" s="2" t="s">
        <v>91</v>
      </c>
      <c r="D916" s="2">
        <v>2</v>
      </c>
      <c r="E916" s="2">
        <v>385</v>
      </c>
      <c r="F916" s="2">
        <v>49</v>
      </c>
      <c r="G916" s="2">
        <v>75654</v>
      </c>
      <c r="H916" s="2">
        <v>8</v>
      </c>
      <c r="I916" s="2" t="s">
        <v>78</v>
      </c>
      <c r="J916" s="3">
        <v>0.127272727272727</v>
      </c>
      <c r="K916" s="21">
        <v>1543.95918367347</v>
      </c>
      <c r="L916" s="21">
        <v>9456.75</v>
      </c>
      <c r="M916" s="21">
        <v>48.125</v>
      </c>
      <c r="N916" s="2" t="s">
        <v>79</v>
      </c>
    </row>
    <row r="917" s="2" customFormat="1" spans="1:14">
      <c r="A917" s="20">
        <v>45763</v>
      </c>
      <c r="B917" s="2" t="s">
        <v>90</v>
      </c>
      <c r="C917" s="2" t="s">
        <v>91</v>
      </c>
      <c r="D917" s="2">
        <v>2</v>
      </c>
      <c r="E917" s="2">
        <v>563</v>
      </c>
      <c r="F917" s="2">
        <v>79</v>
      </c>
      <c r="G917" s="2">
        <v>129240</v>
      </c>
      <c r="H917" s="2">
        <v>8</v>
      </c>
      <c r="I917" s="2" t="s">
        <v>78</v>
      </c>
      <c r="J917" s="3">
        <v>0.14031971580817</v>
      </c>
      <c r="K917" s="21">
        <v>1635.94936708861</v>
      </c>
      <c r="L917" s="21">
        <v>16155</v>
      </c>
      <c r="M917" s="21">
        <v>70.375</v>
      </c>
      <c r="N917" s="2" t="s">
        <v>79</v>
      </c>
    </row>
    <row r="918" s="2" customFormat="1" spans="1:14">
      <c r="A918" s="20">
        <v>45764</v>
      </c>
      <c r="B918" s="2" t="s">
        <v>90</v>
      </c>
      <c r="C918" s="2" t="s">
        <v>91</v>
      </c>
      <c r="D918" s="2">
        <v>2</v>
      </c>
      <c r="E918" s="2">
        <v>591</v>
      </c>
      <c r="F918" s="2">
        <v>74</v>
      </c>
      <c r="G918" s="2">
        <v>104722</v>
      </c>
      <c r="H918" s="2">
        <v>6</v>
      </c>
      <c r="I918" s="2" t="s">
        <v>78</v>
      </c>
      <c r="J918" s="3">
        <v>0.125211505922166</v>
      </c>
      <c r="K918" s="21">
        <v>1415.16216216216</v>
      </c>
      <c r="L918" s="21">
        <v>17453.6666666667</v>
      </c>
      <c r="M918" s="21">
        <v>98.5</v>
      </c>
      <c r="N918" s="2" t="s">
        <v>79</v>
      </c>
    </row>
    <row r="919" s="2" customFormat="1" spans="1:14">
      <c r="A919" s="20">
        <v>45765</v>
      </c>
      <c r="B919" s="2" t="s">
        <v>90</v>
      </c>
      <c r="C919" s="2" t="s">
        <v>91</v>
      </c>
      <c r="D919" s="2">
        <v>2</v>
      </c>
      <c r="E919" s="2">
        <v>470</v>
      </c>
      <c r="F919" s="2">
        <v>64</v>
      </c>
      <c r="G919" s="2">
        <v>103240</v>
      </c>
      <c r="H919" s="2">
        <v>6</v>
      </c>
      <c r="I919" s="2" t="s">
        <v>78</v>
      </c>
      <c r="J919" s="3">
        <v>0.136170212765957</v>
      </c>
      <c r="K919" s="21">
        <v>1613.125</v>
      </c>
      <c r="L919" s="21">
        <v>17206.6666666667</v>
      </c>
      <c r="M919" s="21">
        <v>78.3333333333333</v>
      </c>
      <c r="N919" s="2" t="s">
        <v>79</v>
      </c>
    </row>
    <row r="920" s="2" customFormat="1" spans="1:14">
      <c r="A920" s="20">
        <v>45766</v>
      </c>
      <c r="B920" s="2" t="s">
        <v>90</v>
      </c>
      <c r="C920" s="2" t="s">
        <v>91</v>
      </c>
      <c r="D920" s="2">
        <v>2</v>
      </c>
      <c r="E920" s="2">
        <v>684</v>
      </c>
      <c r="F920" s="2">
        <v>91</v>
      </c>
      <c r="G920" s="2">
        <v>140435</v>
      </c>
      <c r="H920" s="2">
        <v>9</v>
      </c>
      <c r="I920" s="2" t="s">
        <v>78</v>
      </c>
      <c r="J920" s="3">
        <v>0.133040935672515</v>
      </c>
      <c r="K920" s="21">
        <v>1543.24175824176</v>
      </c>
      <c r="L920" s="21">
        <v>15603.8888888889</v>
      </c>
      <c r="M920" s="21">
        <v>76</v>
      </c>
      <c r="N920" s="2" t="s">
        <v>80</v>
      </c>
    </row>
    <row r="921" s="2" customFormat="1" spans="1:14">
      <c r="A921" s="20">
        <v>45767</v>
      </c>
      <c r="B921" s="2" t="s">
        <v>90</v>
      </c>
      <c r="C921" s="2" t="s">
        <v>91</v>
      </c>
      <c r="D921" s="2">
        <v>2</v>
      </c>
      <c r="E921" s="2">
        <v>733</v>
      </c>
      <c r="F921" s="2">
        <v>106</v>
      </c>
      <c r="G921" s="2">
        <v>162974</v>
      </c>
      <c r="H921" s="2">
        <v>9</v>
      </c>
      <c r="I921" s="2" t="s">
        <v>78</v>
      </c>
      <c r="J921" s="3">
        <v>0.144611186903138</v>
      </c>
      <c r="K921" s="21">
        <v>1537.49056603774</v>
      </c>
      <c r="L921" s="21">
        <v>18108.2222222222</v>
      </c>
      <c r="M921" s="21">
        <v>81.4444444444444</v>
      </c>
      <c r="N921" s="2" t="s">
        <v>80</v>
      </c>
    </row>
    <row r="922" s="2" customFormat="1" spans="1:14">
      <c r="A922" s="20">
        <v>45768</v>
      </c>
      <c r="B922" s="2" t="s">
        <v>90</v>
      </c>
      <c r="C922" s="2" t="s">
        <v>91</v>
      </c>
      <c r="D922" s="2">
        <v>2</v>
      </c>
      <c r="E922" s="2">
        <v>416</v>
      </c>
      <c r="F922" s="2">
        <v>60</v>
      </c>
      <c r="G922" s="2">
        <v>74093</v>
      </c>
      <c r="H922" s="2">
        <v>8</v>
      </c>
      <c r="I922" s="2" t="s">
        <v>78</v>
      </c>
      <c r="J922" s="3">
        <v>0.144230769230769</v>
      </c>
      <c r="K922" s="21">
        <v>1234.88333333333</v>
      </c>
      <c r="L922" s="21">
        <v>9261.625</v>
      </c>
      <c r="M922" s="21">
        <v>52</v>
      </c>
      <c r="N922" s="2" t="s">
        <v>79</v>
      </c>
    </row>
    <row r="923" s="2" customFormat="1" spans="1:14">
      <c r="A923" s="20">
        <v>45769</v>
      </c>
      <c r="B923" s="2" t="s">
        <v>90</v>
      </c>
      <c r="C923" s="2" t="s">
        <v>91</v>
      </c>
      <c r="D923" s="2">
        <v>2</v>
      </c>
      <c r="E923" s="2">
        <v>569</v>
      </c>
      <c r="F923" s="2">
        <v>75</v>
      </c>
      <c r="G923" s="2">
        <v>114793</v>
      </c>
      <c r="H923" s="2">
        <v>5</v>
      </c>
      <c r="I923" s="2" t="s">
        <v>78</v>
      </c>
      <c r="J923" s="3">
        <v>0.131810193321617</v>
      </c>
      <c r="K923" s="21">
        <v>1530.57333333333</v>
      </c>
      <c r="L923" s="21">
        <v>22958.6</v>
      </c>
      <c r="M923" s="21">
        <v>113.8</v>
      </c>
      <c r="N923" s="2" t="s">
        <v>79</v>
      </c>
    </row>
    <row r="924" s="2" customFormat="1" spans="1:14">
      <c r="A924" s="20">
        <v>45770</v>
      </c>
      <c r="B924" s="2" t="s">
        <v>90</v>
      </c>
      <c r="C924" s="2" t="s">
        <v>91</v>
      </c>
      <c r="D924" s="2">
        <v>2</v>
      </c>
      <c r="E924" s="2">
        <v>485</v>
      </c>
      <c r="F924" s="2">
        <v>69</v>
      </c>
      <c r="G924" s="2">
        <v>102193</v>
      </c>
      <c r="H924" s="2">
        <v>6</v>
      </c>
      <c r="I924" s="2" t="s">
        <v>78</v>
      </c>
      <c r="J924" s="3">
        <v>0.142268041237113</v>
      </c>
      <c r="K924" s="21">
        <v>1481.05797101449</v>
      </c>
      <c r="L924" s="21">
        <v>17032.1666666667</v>
      </c>
      <c r="M924" s="21">
        <v>80.8333333333333</v>
      </c>
      <c r="N924" s="2" t="s">
        <v>79</v>
      </c>
    </row>
    <row r="925" s="2" customFormat="1" spans="1:14">
      <c r="A925" s="20">
        <v>45771</v>
      </c>
      <c r="B925" s="2" t="s">
        <v>90</v>
      </c>
      <c r="C925" s="2" t="s">
        <v>91</v>
      </c>
      <c r="D925" s="2">
        <v>2</v>
      </c>
      <c r="E925" s="2">
        <v>579</v>
      </c>
      <c r="F925" s="2">
        <v>70</v>
      </c>
      <c r="G925" s="2">
        <v>82194</v>
      </c>
      <c r="H925" s="2">
        <v>6</v>
      </c>
      <c r="I925" s="2" t="s">
        <v>78</v>
      </c>
      <c r="J925" s="3">
        <v>0.120898100172712</v>
      </c>
      <c r="K925" s="21">
        <v>1174.2</v>
      </c>
      <c r="L925" s="21">
        <v>13699</v>
      </c>
      <c r="M925" s="21">
        <v>96.5</v>
      </c>
      <c r="N925" s="2" t="s">
        <v>79</v>
      </c>
    </row>
    <row r="926" s="2" customFormat="1" spans="1:14">
      <c r="A926" s="20">
        <v>45772</v>
      </c>
      <c r="B926" s="2" t="s">
        <v>90</v>
      </c>
      <c r="C926" s="2" t="s">
        <v>91</v>
      </c>
      <c r="D926" s="2">
        <v>2</v>
      </c>
      <c r="E926" s="2">
        <v>583</v>
      </c>
      <c r="F926" s="2">
        <v>79</v>
      </c>
      <c r="G926" s="2">
        <v>128426</v>
      </c>
      <c r="H926" s="2">
        <v>6</v>
      </c>
      <c r="I926" s="2" t="s">
        <v>78</v>
      </c>
      <c r="J926" s="3">
        <v>0.135506003430532</v>
      </c>
      <c r="K926" s="21">
        <v>1625.64556962025</v>
      </c>
      <c r="L926" s="21">
        <v>21404.3333333333</v>
      </c>
      <c r="M926" s="21">
        <v>97.1666666666667</v>
      </c>
      <c r="N926" s="2" t="s">
        <v>79</v>
      </c>
    </row>
    <row r="927" s="2" customFormat="1" spans="1:14">
      <c r="A927" s="20">
        <v>45773</v>
      </c>
      <c r="B927" s="2" t="s">
        <v>90</v>
      </c>
      <c r="C927" s="2" t="s">
        <v>91</v>
      </c>
      <c r="D927" s="2">
        <v>2</v>
      </c>
      <c r="E927" s="2">
        <v>681</v>
      </c>
      <c r="F927" s="2">
        <v>92</v>
      </c>
      <c r="G927" s="2">
        <v>118780</v>
      </c>
      <c r="H927" s="2">
        <v>4</v>
      </c>
      <c r="I927" s="2" t="s">
        <v>81</v>
      </c>
      <c r="J927" s="3">
        <v>0.135095447870778</v>
      </c>
      <c r="K927" s="21">
        <v>1291.08695652174</v>
      </c>
      <c r="L927" s="21">
        <v>29695</v>
      </c>
      <c r="M927" s="21">
        <v>170.25</v>
      </c>
      <c r="N927" s="2" t="s">
        <v>80</v>
      </c>
    </row>
    <row r="928" s="2" customFormat="1" spans="1:14">
      <c r="A928" s="20">
        <v>45774</v>
      </c>
      <c r="B928" s="2" t="s">
        <v>90</v>
      </c>
      <c r="C928" s="2" t="s">
        <v>91</v>
      </c>
      <c r="D928" s="2">
        <v>2</v>
      </c>
      <c r="E928" s="2">
        <v>745</v>
      </c>
      <c r="F928" s="2">
        <v>93</v>
      </c>
      <c r="G928" s="2">
        <v>116321</v>
      </c>
      <c r="H928" s="2">
        <v>6</v>
      </c>
      <c r="I928" s="2" t="s">
        <v>78</v>
      </c>
      <c r="J928" s="3">
        <v>0.124832214765101</v>
      </c>
      <c r="K928" s="21">
        <v>1250.76344086022</v>
      </c>
      <c r="L928" s="21">
        <v>19386.8333333333</v>
      </c>
      <c r="M928" s="21">
        <v>124.166666666667</v>
      </c>
      <c r="N928" s="2" t="s">
        <v>80</v>
      </c>
    </row>
    <row r="929" s="2" customFormat="1" spans="1:14">
      <c r="A929" s="20">
        <v>45775</v>
      </c>
      <c r="B929" s="2" t="s">
        <v>90</v>
      </c>
      <c r="C929" s="2" t="s">
        <v>91</v>
      </c>
      <c r="D929" s="2">
        <v>2</v>
      </c>
      <c r="E929" s="2">
        <v>478</v>
      </c>
      <c r="F929" s="2">
        <v>65</v>
      </c>
      <c r="G929" s="2">
        <v>90449</v>
      </c>
      <c r="H929" s="2">
        <v>5</v>
      </c>
      <c r="I929" s="2" t="s">
        <v>78</v>
      </c>
      <c r="J929" s="3">
        <v>0.135983263598326</v>
      </c>
      <c r="K929" s="21">
        <v>1391.52307692308</v>
      </c>
      <c r="L929" s="21">
        <v>18089.8</v>
      </c>
      <c r="M929" s="21">
        <v>95.6</v>
      </c>
      <c r="N929" s="2" t="s">
        <v>79</v>
      </c>
    </row>
    <row r="930" s="2" customFormat="1" spans="1:14">
      <c r="A930" s="20">
        <v>45776</v>
      </c>
      <c r="B930" s="2" t="s">
        <v>90</v>
      </c>
      <c r="C930" s="2" t="s">
        <v>91</v>
      </c>
      <c r="D930" s="2">
        <v>2</v>
      </c>
      <c r="E930" s="2">
        <v>507</v>
      </c>
      <c r="F930" s="2">
        <v>64</v>
      </c>
      <c r="G930" s="2">
        <v>107017</v>
      </c>
      <c r="H930" s="2">
        <v>5</v>
      </c>
      <c r="I930" s="2" t="s">
        <v>78</v>
      </c>
      <c r="J930" s="3">
        <v>0.126232741617357</v>
      </c>
      <c r="K930" s="21">
        <v>1672.140625</v>
      </c>
      <c r="L930" s="21">
        <v>21403.4</v>
      </c>
      <c r="M930" s="21">
        <v>101.4</v>
      </c>
      <c r="N930" s="2" t="s">
        <v>79</v>
      </c>
    </row>
    <row r="931" s="2" customFormat="1" spans="1:14">
      <c r="A931" s="20">
        <v>45777</v>
      </c>
      <c r="B931" s="2" t="s">
        <v>90</v>
      </c>
      <c r="C931" s="2" t="s">
        <v>91</v>
      </c>
      <c r="D931" s="2">
        <v>2</v>
      </c>
      <c r="E931" s="2">
        <v>518</v>
      </c>
      <c r="F931" s="2">
        <v>76</v>
      </c>
      <c r="G931" s="2">
        <v>110933</v>
      </c>
      <c r="H931" s="2">
        <v>8</v>
      </c>
      <c r="I931" s="2" t="s">
        <v>78</v>
      </c>
      <c r="J931" s="3">
        <v>0.146718146718147</v>
      </c>
      <c r="K931" s="21">
        <v>1459.6447368421</v>
      </c>
      <c r="L931" s="21">
        <v>13866.625</v>
      </c>
      <c r="M931" s="21">
        <v>64.75</v>
      </c>
      <c r="N931" s="2" t="s">
        <v>79</v>
      </c>
    </row>
    <row r="932" s="2" customFormat="1" spans="1:14">
      <c r="A932" s="20">
        <v>45778</v>
      </c>
      <c r="B932" s="2" t="s">
        <v>90</v>
      </c>
      <c r="C932" s="2" t="s">
        <v>91</v>
      </c>
      <c r="D932" s="2">
        <v>2</v>
      </c>
      <c r="E932" s="2">
        <v>566</v>
      </c>
      <c r="F932" s="2">
        <v>72</v>
      </c>
      <c r="G932" s="2">
        <v>111047</v>
      </c>
      <c r="H932" s="2">
        <v>4</v>
      </c>
      <c r="I932" s="2" t="s">
        <v>78</v>
      </c>
      <c r="J932" s="3">
        <v>0.127208480565371</v>
      </c>
      <c r="K932" s="21">
        <v>1542.31944444444</v>
      </c>
      <c r="L932" s="21">
        <v>27761.75</v>
      </c>
      <c r="M932" s="21">
        <v>141.5</v>
      </c>
      <c r="N932" s="2" t="s">
        <v>79</v>
      </c>
    </row>
    <row r="933" s="2" customFormat="1" spans="1:14">
      <c r="A933" s="20">
        <v>45779</v>
      </c>
      <c r="B933" s="2" t="s">
        <v>90</v>
      </c>
      <c r="C933" s="2" t="s">
        <v>91</v>
      </c>
      <c r="D933" s="2">
        <v>2</v>
      </c>
      <c r="E933" s="2">
        <v>493</v>
      </c>
      <c r="F933" s="2">
        <v>65</v>
      </c>
      <c r="G933" s="2">
        <v>94698</v>
      </c>
      <c r="H933" s="2">
        <v>8</v>
      </c>
      <c r="I933" s="2" t="s">
        <v>78</v>
      </c>
      <c r="J933" s="3">
        <v>0.13184584178499</v>
      </c>
      <c r="K933" s="21">
        <v>1456.89230769231</v>
      </c>
      <c r="L933" s="21">
        <v>11837.25</v>
      </c>
      <c r="M933" s="21">
        <v>61.625</v>
      </c>
      <c r="N933" s="2" t="s">
        <v>79</v>
      </c>
    </row>
    <row r="934" s="2" customFormat="1" spans="1:14">
      <c r="A934" s="20">
        <v>45780</v>
      </c>
      <c r="B934" s="2" t="s">
        <v>90</v>
      </c>
      <c r="C934" s="2" t="s">
        <v>91</v>
      </c>
      <c r="D934" s="2">
        <v>2</v>
      </c>
      <c r="E934" s="2">
        <v>650</v>
      </c>
      <c r="F934" s="2">
        <v>87</v>
      </c>
      <c r="G934" s="2">
        <v>130568</v>
      </c>
      <c r="H934" s="2">
        <v>6</v>
      </c>
      <c r="I934" s="2" t="s">
        <v>78</v>
      </c>
      <c r="J934" s="3">
        <v>0.133846153846154</v>
      </c>
      <c r="K934" s="21">
        <v>1500.7816091954</v>
      </c>
      <c r="L934" s="21">
        <v>21761.3333333333</v>
      </c>
      <c r="M934" s="21">
        <v>108.333333333333</v>
      </c>
      <c r="N934" s="2" t="s">
        <v>80</v>
      </c>
    </row>
    <row r="935" s="2" customFormat="1" spans="1:14">
      <c r="A935" s="20">
        <v>45781</v>
      </c>
      <c r="B935" s="2" t="s">
        <v>90</v>
      </c>
      <c r="C935" s="2" t="s">
        <v>91</v>
      </c>
      <c r="D935" s="2">
        <v>2</v>
      </c>
      <c r="E935" s="2">
        <v>573</v>
      </c>
      <c r="F935" s="2">
        <v>78</v>
      </c>
      <c r="G935" s="2">
        <v>101756</v>
      </c>
      <c r="H935" s="2">
        <v>6</v>
      </c>
      <c r="I935" s="2" t="s">
        <v>78</v>
      </c>
      <c r="J935" s="3">
        <v>0.136125654450262</v>
      </c>
      <c r="K935" s="21">
        <v>1304.5641025641</v>
      </c>
      <c r="L935" s="21">
        <v>16959.3333333333</v>
      </c>
      <c r="M935" s="21">
        <v>95.5</v>
      </c>
      <c r="N935" s="2" t="s">
        <v>80</v>
      </c>
    </row>
    <row r="936" s="2" customFormat="1" spans="1:14">
      <c r="A936" s="20">
        <v>45782</v>
      </c>
      <c r="B936" s="2" t="s">
        <v>90</v>
      </c>
      <c r="C936" s="2" t="s">
        <v>91</v>
      </c>
      <c r="D936" s="2">
        <v>2</v>
      </c>
      <c r="E936" s="2">
        <v>480</v>
      </c>
      <c r="F936" s="2">
        <v>63</v>
      </c>
      <c r="G936" s="2">
        <v>77073</v>
      </c>
      <c r="H936" s="2">
        <v>4</v>
      </c>
      <c r="I936" s="2" t="s">
        <v>78</v>
      </c>
      <c r="J936" s="3">
        <v>0.13125</v>
      </c>
      <c r="K936" s="21">
        <v>1223.38095238095</v>
      </c>
      <c r="L936" s="21">
        <v>19268.25</v>
      </c>
      <c r="M936" s="21">
        <v>120</v>
      </c>
      <c r="N936" s="2" t="s">
        <v>79</v>
      </c>
    </row>
    <row r="937" s="2" customFormat="1" spans="1:14">
      <c r="A937" s="20">
        <v>45783</v>
      </c>
      <c r="B937" s="2" t="s">
        <v>90</v>
      </c>
      <c r="C937" s="2" t="s">
        <v>91</v>
      </c>
      <c r="D937" s="2">
        <v>2</v>
      </c>
      <c r="E937" s="2">
        <v>399</v>
      </c>
      <c r="F937" s="2">
        <v>48</v>
      </c>
      <c r="G937" s="2">
        <v>55104</v>
      </c>
      <c r="H937" s="2">
        <v>7</v>
      </c>
      <c r="I937" s="2" t="s">
        <v>78</v>
      </c>
      <c r="J937" s="3">
        <v>0.120300751879699</v>
      </c>
      <c r="K937" s="21">
        <v>1148</v>
      </c>
      <c r="L937" s="21">
        <v>7872</v>
      </c>
      <c r="M937" s="21">
        <v>57</v>
      </c>
      <c r="N937" s="2" t="s">
        <v>79</v>
      </c>
    </row>
    <row r="938" s="2" customFormat="1" spans="1:14">
      <c r="A938" s="20">
        <v>45784</v>
      </c>
      <c r="B938" s="2" t="s">
        <v>90</v>
      </c>
      <c r="C938" s="2" t="s">
        <v>91</v>
      </c>
      <c r="D938" s="2">
        <v>2</v>
      </c>
      <c r="E938" s="2">
        <v>524</v>
      </c>
      <c r="F938" s="2">
        <v>74</v>
      </c>
      <c r="G938" s="2">
        <v>94047</v>
      </c>
      <c r="H938" s="2">
        <v>7</v>
      </c>
      <c r="I938" s="2" t="s">
        <v>81</v>
      </c>
      <c r="J938" s="3">
        <v>0.141221374045802</v>
      </c>
      <c r="K938" s="21">
        <v>1270.9054054054</v>
      </c>
      <c r="L938" s="21">
        <v>13435.2857142857</v>
      </c>
      <c r="M938" s="21">
        <v>74.8571428571429</v>
      </c>
      <c r="N938" s="2" t="s">
        <v>79</v>
      </c>
    </row>
    <row r="939" s="2" customFormat="1" spans="1:14">
      <c r="A939" s="20">
        <v>45785</v>
      </c>
      <c r="B939" s="2" t="s">
        <v>90</v>
      </c>
      <c r="C939" s="2" t="s">
        <v>91</v>
      </c>
      <c r="D939" s="2">
        <v>2</v>
      </c>
      <c r="E939" s="2">
        <v>517</v>
      </c>
      <c r="F939" s="2">
        <v>68</v>
      </c>
      <c r="G939" s="2">
        <v>106460</v>
      </c>
      <c r="H939" s="2">
        <v>7</v>
      </c>
      <c r="I939" s="2" t="s">
        <v>78</v>
      </c>
      <c r="J939" s="3">
        <v>0.131528046421663</v>
      </c>
      <c r="K939" s="21">
        <v>1565.58823529412</v>
      </c>
      <c r="L939" s="21">
        <v>15208.5714285714</v>
      </c>
      <c r="M939" s="21">
        <v>73.8571428571429</v>
      </c>
      <c r="N939" s="2" t="s">
        <v>79</v>
      </c>
    </row>
    <row r="940" s="2" customFormat="1" spans="1:14">
      <c r="A940" s="20">
        <v>45786</v>
      </c>
      <c r="B940" s="2" t="s">
        <v>90</v>
      </c>
      <c r="C940" s="2" t="s">
        <v>91</v>
      </c>
      <c r="D940" s="2">
        <v>2</v>
      </c>
      <c r="E940" s="2">
        <v>582</v>
      </c>
      <c r="F940" s="2">
        <v>72</v>
      </c>
      <c r="G940" s="2">
        <v>92090</v>
      </c>
      <c r="H940" s="2">
        <v>5</v>
      </c>
      <c r="I940" s="2" t="s">
        <v>78</v>
      </c>
      <c r="J940" s="3">
        <v>0.123711340206186</v>
      </c>
      <c r="K940" s="21">
        <v>1279.02777777778</v>
      </c>
      <c r="L940" s="21">
        <v>18418</v>
      </c>
      <c r="M940" s="21">
        <v>116.4</v>
      </c>
      <c r="N940" s="2" t="s">
        <v>79</v>
      </c>
    </row>
    <row r="941" s="2" customFormat="1" spans="1:14">
      <c r="A941" s="20">
        <v>45787</v>
      </c>
      <c r="B941" s="2" t="s">
        <v>90</v>
      </c>
      <c r="C941" s="2" t="s">
        <v>91</v>
      </c>
      <c r="D941" s="2">
        <v>2</v>
      </c>
      <c r="E941" s="2">
        <v>655</v>
      </c>
      <c r="F941" s="2">
        <v>86</v>
      </c>
      <c r="G941" s="2">
        <v>120129</v>
      </c>
      <c r="H941" s="2">
        <v>7</v>
      </c>
      <c r="I941" s="2" t="s">
        <v>78</v>
      </c>
      <c r="J941" s="3">
        <v>0.131297709923664</v>
      </c>
      <c r="K941" s="21">
        <v>1396.8488372093</v>
      </c>
      <c r="L941" s="21">
        <v>17161.2857142857</v>
      </c>
      <c r="M941" s="21">
        <v>93.5714285714286</v>
      </c>
      <c r="N941" s="2" t="s">
        <v>80</v>
      </c>
    </row>
    <row r="942" s="2" customFormat="1" spans="1:14">
      <c r="A942" s="20">
        <v>45788</v>
      </c>
      <c r="B942" s="2" t="s">
        <v>90</v>
      </c>
      <c r="C942" s="2" t="s">
        <v>91</v>
      </c>
      <c r="D942" s="2">
        <v>2</v>
      </c>
      <c r="E942" s="2">
        <v>823</v>
      </c>
      <c r="F942" s="2">
        <v>107</v>
      </c>
      <c r="G942" s="2">
        <v>162516</v>
      </c>
      <c r="H942" s="2">
        <v>8</v>
      </c>
      <c r="I942" s="2" t="s">
        <v>78</v>
      </c>
      <c r="J942" s="3">
        <v>0.130012150668287</v>
      </c>
      <c r="K942" s="21">
        <v>1518.84112149533</v>
      </c>
      <c r="L942" s="21">
        <v>20314.5</v>
      </c>
      <c r="M942" s="21">
        <v>102.875</v>
      </c>
      <c r="N942" s="2" t="s">
        <v>80</v>
      </c>
    </row>
    <row r="943" s="2" customFormat="1" spans="1:14">
      <c r="A943" s="20">
        <v>45789</v>
      </c>
      <c r="B943" s="2" t="s">
        <v>90</v>
      </c>
      <c r="C943" s="2" t="s">
        <v>91</v>
      </c>
      <c r="D943" s="2">
        <v>2</v>
      </c>
      <c r="E943" s="2">
        <v>408</v>
      </c>
      <c r="F943" s="2">
        <v>51</v>
      </c>
      <c r="G943" s="2">
        <v>73566</v>
      </c>
      <c r="H943" s="2">
        <v>4</v>
      </c>
      <c r="I943" s="2" t="s">
        <v>78</v>
      </c>
      <c r="J943" s="3">
        <v>0.125</v>
      </c>
      <c r="K943" s="21">
        <v>1442.47058823529</v>
      </c>
      <c r="L943" s="21">
        <v>18391.5</v>
      </c>
      <c r="M943" s="21">
        <v>102</v>
      </c>
      <c r="N943" s="2" t="s">
        <v>79</v>
      </c>
    </row>
    <row r="944" s="2" customFormat="1" spans="1:14">
      <c r="A944" s="20">
        <v>45790</v>
      </c>
      <c r="B944" s="2" t="s">
        <v>90</v>
      </c>
      <c r="C944" s="2" t="s">
        <v>91</v>
      </c>
      <c r="D944" s="2">
        <v>2</v>
      </c>
      <c r="E944" s="2">
        <v>514</v>
      </c>
      <c r="F944" s="2">
        <v>66</v>
      </c>
      <c r="G944" s="2">
        <v>89026</v>
      </c>
      <c r="H944" s="2">
        <v>6</v>
      </c>
      <c r="I944" s="2" t="s">
        <v>78</v>
      </c>
      <c r="J944" s="3">
        <v>0.1284046692607</v>
      </c>
      <c r="K944" s="21">
        <v>1348.87878787879</v>
      </c>
      <c r="L944" s="21">
        <v>14837.6666666667</v>
      </c>
      <c r="M944" s="21">
        <v>85.6666666666667</v>
      </c>
      <c r="N944" s="2" t="s">
        <v>79</v>
      </c>
    </row>
    <row r="945" s="2" customFormat="1" spans="1:14">
      <c r="A945" s="20">
        <v>45791</v>
      </c>
      <c r="B945" s="2" t="s">
        <v>90</v>
      </c>
      <c r="C945" s="2" t="s">
        <v>91</v>
      </c>
      <c r="D945" s="2">
        <v>2</v>
      </c>
      <c r="E945" s="2">
        <v>542</v>
      </c>
      <c r="F945" s="2">
        <v>79</v>
      </c>
      <c r="G945" s="2">
        <v>126990</v>
      </c>
      <c r="H945" s="2">
        <v>7</v>
      </c>
      <c r="I945" s="2" t="s">
        <v>81</v>
      </c>
      <c r="J945" s="3">
        <v>0.145756457564576</v>
      </c>
      <c r="K945" s="21">
        <v>1607.46835443038</v>
      </c>
      <c r="L945" s="21">
        <v>18141.4285714286</v>
      </c>
      <c r="M945" s="21">
        <v>77.4285714285714</v>
      </c>
      <c r="N945" s="2" t="s">
        <v>79</v>
      </c>
    </row>
    <row r="946" s="2" customFormat="1" spans="1:14">
      <c r="A946" s="20">
        <v>45792</v>
      </c>
      <c r="B946" s="2" t="s">
        <v>90</v>
      </c>
      <c r="C946" s="2" t="s">
        <v>91</v>
      </c>
      <c r="D946" s="2">
        <v>2</v>
      </c>
      <c r="E946" s="2">
        <v>455</v>
      </c>
      <c r="F946" s="2">
        <v>66</v>
      </c>
      <c r="G946" s="2">
        <v>103468</v>
      </c>
      <c r="H946" s="2">
        <v>7</v>
      </c>
      <c r="I946" s="2" t="s">
        <v>78</v>
      </c>
      <c r="J946" s="3">
        <v>0.145054945054945</v>
      </c>
      <c r="K946" s="21">
        <v>1567.69696969697</v>
      </c>
      <c r="L946" s="21">
        <v>14781.1428571429</v>
      </c>
      <c r="M946" s="21">
        <v>65</v>
      </c>
      <c r="N946" s="2" t="s">
        <v>79</v>
      </c>
    </row>
    <row r="947" s="2" customFormat="1" spans="1:14">
      <c r="A947" s="20">
        <v>45793</v>
      </c>
      <c r="B947" s="2" t="s">
        <v>90</v>
      </c>
      <c r="C947" s="2" t="s">
        <v>91</v>
      </c>
      <c r="D947" s="2">
        <v>2</v>
      </c>
      <c r="E947" s="2">
        <v>631</v>
      </c>
      <c r="F947" s="2">
        <v>87</v>
      </c>
      <c r="G947" s="2">
        <v>99883</v>
      </c>
      <c r="H947" s="2">
        <v>9</v>
      </c>
      <c r="I947" s="2" t="s">
        <v>78</v>
      </c>
      <c r="J947" s="3">
        <v>0.137876386687797</v>
      </c>
      <c r="K947" s="21">
        <v>1148.08045977012</v>
      </c>
      <c r="L947" s="21">
        <v>11098.1111111111</v>
      </c>
      <c r="M947" s="21">
        <v>70.1111111111111</v>
      </c>
      <c r="N947" s="2" t="s">
        <v>79</v>
      </c>
    </row>
    <row r="948" s="2" customFormat="1" spans="1:14">
      <c r="A948" s="20">
        <v>45794</v>
      </c>
      <c r="B948" s="2" t="s">
        <v>90</v>
      </c>
      <c r="C948" s="2" t="s">
        <v>91</v>
      </c>
      <c r="D948" s="2">
        <v>2</v>
      </c>
      <c r="E948" s="2">
        <v>685</v>
      </c>
      <c r="F948" s="2">
        <v>94</v>
      </c>
      <c r="G948" s="2">
        <v>121533</v>
      </c>
      <c r="H948" s="2">
        <v>4</v>
      </c>
      <c r="I948" s="2" t="s">
        <v>78</v>
      </c>
      <c r="J948" s="3">
        <v>0.137226277372263</v>
      </c>
      <c r="K948" s="21">
        <v>1292.90425531915</v>
      </c>
      <c r="L948" s="21">
        <v>30383.25</v>
      </c>
      <c r="M948" s="21">
        <v>171.25</v>
      </c>
      <c r="N948" s="2" t="s">
        <v>80</v>
      </c>
    </row>
    <row r="949" s="2" customFormat="1" spans="1:14">
      <c r="A949" s="20">
        <v>45795</v>
      </c>
      <c r="B949" s="2" t="s">
        <v>90</v>
      </c>
      <c r="C949" s="2" t="s">
        <v>91</v>
      </c>
      <c r="D949" s="2">
        <v>2</v>
      </c>
      <c r="E949" s="2">
        <v>651</v>
      </c>
      <c r="F949" s="2">
        <v>83</v>
      </c>
      <c r="G949" s="2">
        <v>105269</v>
      </c>
      <c r="H949" s="2">
        <v>4</v>
      </c>
      <c r="I949" s="2" t="s">
        <v>78</v>
      </c>
      <c r="J949" s="3">
        <v>0.127496159754224</v>
      </c>
      <c r="K949" s="21">
        <v>1268.30120481928</v>
      </c>
      <c r="L949" s="21">
        <v>26317.25</v>
      </c>
      <c r="M949" s="21">
        <v>162.75</v>
      </c>
      <c r="N949" s="2" t="s">
        <v>80</v>
      </c>
    </row>
    <row r="950" s="2" customFormat="1" spans="1:14">
      <c r="A950" s="20">
        <v>45796</v>
      </c>
      <c r="B950" s="2" t="s">
        <v>90</v>
      </c>
      <c r="C950" s="2" t="s">
        <v>91</v>
      </c>
      <c r="D950" s="2">
        <v>2</v>
      </c>
      <c r="E950" s="2">
        <v>461</v>
      </c>
      <c r="F950" s="2">
        <v>57</v>
      </c>
      <c r="G950" s="2">
        <v>72432</v>
      </c>
      <c r="H950" s="2">
        <v>8</v>
      </c>
      <c r="I950" s="2" t="s">
        <v>78</v>
      </c>
      <c r="J950" s="3">
        <v>0.123644251626898</v>
      </c>
      <c r="K950" s="21">
        <v>1270.73684210526</v>
      </c>
      <c r="L950" s="21">
        <v>9054</v>
      </c>
      <c r="M950" s="21">
        <v>57.625</v>
      </c>
      <c r="N950" s="2" t="s">
        <v>79</v>
      </c>
    </row>
    <row r="951" s="2" customFormat="1" spans="1:14">
      <c r="A951" s="20">
        <v>45797</v>
      </c>
      <c r="B951" s="2" t="s">
        <v>90</v>
      </c>
      <c r="C951" s="2" t="s">
        <v>91</v>
      </c>
      <c r="D951" s="2">
        <v>2</v>
      </c>
      <c r="E951" s="2">
        <v>450</v>
      </c>
      <c r="F951" s="2">
        <v>65</v>
      </c>
      <c r="G951" s="2">
        <v>98761</v>
      </c>
      <c r="H951" s="2">
        <v>9</v>
      </c>
      <c r="I951" s="2" t="s">
        <v>78</v>
      </c>
      <c r="J951" s="3">
        <v>0.144444444444444</v>
      </c>
      <c r="K951" s="21">
        <v>1519.4</v>
      </c>
      <c r="L951" s="21">
        <v>10973.4444444445</v>
      </c>
      <c r="M951" s="21">
        <v>50</v>
      </c>
      <c r="N951" s="2" t="s">
        <v>79</v>
      </c>
    </row>
    <row r="952" s="2" customFormat="1" spans="1:14">
      <c r="A952" s="20">
        <v>45798</v>
      </c>
      <c r="B952" s="2" t="s">
        <v>90</v>
      </c>
      <c r="C952" s="2" t="s">
        <v>91</v>
      </c>
      <c r="D952" s="2">
        <v>2</v>
      </c>
      <c r="E952" s="2">
        <v>425</v>
      </c>
      <c r="F952" s="2">
        <v>55</v>
      </c>
      <c r="G952" s="2">
        <v>78799</v>
      </c>
      <c r="H952" s="2">
        <v>5</v>
      </c>
      <c r="I952" s="2" t="s">
        <v>78</v>
      </c>
      <c r="J952" s="3">
        <v>0.129411764705882</v>
      </c>
      <c r="K952" s="21">
        <v>1432.70909090909</v>
      </c>
      <c r="L952" s="21">
        <v>15759.8</v>
      </c>
      <c r="M952" s="21">
        <v>85</v>
      </c>
      <c r="N952" s="2" t="s">
        <v>79</v>
      </c>
    </row>
    <row r="953" s="2" customFormat="1" spans="1:14">
      <c r="A953" s="20">
        <v>45799</v>
      </c>
      <c r="B953" s="2" t="s">
        <v>90</v>
      </c>
      <c r="C953" s="2" t="s">
        <v>91</v>
      </c>
      <c r="D953" s="2">
        <v>2</v>
      </c>
      <c r="E953" s="2">
        <v>507</v>
      </c>
      <c r="F953" s="2">
        <v>66</v>
      </c>
      <c r="G953" s="2">
        <v>104280</v>
      </c>
      <c r="H953" s="2">
        <v>4</v>
      </c>
      <c r="I953" s="2" t="s">
        <v>78</v>
      </c>
      <c r="J953" s="3">
        <v>0.130177514792899</v>
      </c>
      <c r="K953" s="21">
        <v>1580</v>
      </c>
      <c r="L953" s="21">
        <v>26070</v>
      </c>
      <c r="M953" s="21">
        <v>126.75</v>
      </c>
      <c r="N953" s="2" t="s">
        <v>79</v>
      </c>
    </row>
    <row r="954" s="2" customFormat="1" spans="1:14">
      <c r="A954" s="20">
        <v>45800</v>
      </c>
      <c r="B954" s="2" t="s">
        <v>90</v>
      </c>
      <c r="C954" s="2" t="s">
        <v>91</v>
      </c>
      <c r="D954" s="2">
        <v>2</v>
      </c>
      <c r="E954" s="2">
        <v>526</v>
      </c>
      <c r="F954" s="2">
        <v>67</v>
      </c>
      <c r="G954" s="2">
        <v>79542</v>
      </c>
      <c r="H954" s="2">
        <v>5</v>
      </c>
      <c r="I954" s="2" t="s">
        <v>78</v>
      </c>
      <c r="J954" s="3">
        <v>0.127376425855513</v>
      </c>
      <c r="K954" s="21">
        <v>1187.19402985075</v>
      </c>
      <c r="L954" s="21">
        <v>15908.4</v>
      </c>
      <c r="M954" s="21">
        <v>105.2</v>
      </c>
      <c r="N954" s="2" t="s">
        <v>79</v>
      </c>
    </row>
    <row r="955" s="2" customFormat="1" spans="1:14">
      <c r="A955" s="20">
        <v>45801</v>
      </c>
      <c r="B955" s="2" t="s">
        <v>90</v>
      </c>
      <c r="C955" s="2" t="s">
        <v>91</v>
      </c>
      <c r="D955" s="2">
        <v>2</v>
      </c>
      <c r="E955" s="2">
        <v>606</v>
      </c>
      <c r="F955" s="2">
        <v>84</v>
      </c>
      <c r="G955" s="2">
        <v>106831</v>
      </c>
      <c r="H955" s="2">
        <v>8</v>
      </c>
      <c r="I955" s="2" t="s">
        <v>81</v>
      </c>
      <c r="J955" s="3">
        <v>0.138613861386139</v>
      </c>
      <c r="K955" s="21">
        <v>1271.79761904762</v>
      </c>
      <c r="L955" s="21">
        <v>13353.875</v>
      </c>
      <c r="M955" s="21">
        <v>75.75</v>
      </c>
      <c r="N955" s="2" t="s">
        <v>80</v>
      </c>
    </row>
    <row r="956" s="2" customFormat="1" spans="1:14">
      <c r="A956" s="20">
        <v>45802</v>
      </c>
      <c r="B956" s="2" t="s">
        <v>90</v>
      </c>
      <c r="C956" s="2" t="s">
        <v>91</v>
      </c>
      <c r="D956" s="2">
        <v>2</v>
      </c>
      <c r="E956" s="2">
        <v>646</v>
      </c>
      <c r="F956" s="2">
        <v>82</v>
      </c>
      <c r="G956" s="2">
        <v>107912</v>
      </c>
      <c r="H956" s="2">
        <v>8</v>
      </c>
      <c r="I956" s="2" t="s">
        <v>78</v>
      </c>
      <c r="J956" s="3">
        <v>0.126934984520124</v>
      </c>
      <c r="K956" s="21">
        <v>1316</v>
      </c>
      <c r="L956" s="21">
        <v>13489</v>
      </c>
      <c r="M956" s="21">
        <v>80.75</v>
      </c>
      <c r="N956" s="2" t="s">
        <v>80</v>
      </c>
    </row>
    <row r="957" s="2" customFormat="1" spans="1:14">
      <c r="A957" s="20">
        <v>45803</v>
      </c>
      <c r="B957" s="2" t="s">
        <v>90</v>
      </c>
      <c r="C957" s="2" t="s">
        <v>91</v>
      </c>
      <c r="D957" s="2">
        <v>2</v>
      </c>
      <c r="E957" s="2">
        <v>495</v>
      </c>
      <c r="F957" s="2">
        <v>70</v>
      </c>
      <c r="G957" s="2">
        <v>80377</v>
      </c>
      <c r="H957" s="2">
        <v>8</v>
      </c>
      <c r="I957" s="2" t="s">
        <v>78</v>
      </c>
      <c r="J957" s="3">
        <v>0.141414141414141</v>
      </c>
      <c r="K957" s="21">
        <v>1148.24285714286</v>
      </c>
      <c r="L957" s="21">
        <v>10047.125</v>
      </c>
      <c r="M957" s="21">
        <v>61.875</v>
      </c>
      <c r="N957" s="2" t="s">
        <v>79</v>
      </c>
    </row>
    <row r="958" s="2" customFormat="1" spans="1:14">
      <c r="A958" s="20">
        <v>45804</v>
      </c>
      <c r="B958" s="2" t="s">
        <v>90</v>
      </c>
      <c r="C958" s="2" t="s">
        <v>91</v>
      </c>
      <c r="D958" s="2">
        <v>2</v>
      </c>
      <c r="E958" s="2">
        <v>522</v>
      </c>
      <c r="F958" s="2">
        <v>66</v>
      </c>
      <c r="G958" s="2">
        <v>78963</v>
      </c>
      <c r="H958" s="2">
        <v>4</v>
      </c>
      <c r="I958" s="2" t="s">
        <v>78</v>
      </c>
      <c r="J958" s="3">
        <v>0.126436781609195</v>
      </c>
      <c r="K958" s="21">
        <v>1196.40909090909</v>
      </c>
      <c r="L958" s="21">
        <v>19740.75</v>
      </c>
      <c r="M958" s="21">
        <v>130.5</v>
      </c>
      <c r="N958" s="2" t="s">
        <v>79</v>
      </c>
    </row>
    <row r="959" s="2" customFormat="1" spans="1:14">
      <c r="A959" s="20">
        <v>45805</v>
      </c>
      <c r="B959" s="2" t="s">
        <v>90</v>
      </c>
      <c r="C959" s="2" t="s">
        <v>91</v>
      </c>
      <c r="D959" s="2">
        <v>2</v>
      </c>
      <c r="E959" s="2">
        <v>538</v>
      </c>
      <c r="F959" s="2">
        <v>72</v>
      </c>
      <c r="G959" s="2">
        <v>114684</v>
      </c>
      <c r="H959" s="2">
        <v>5</v>
      </c>
      <c r="I959" s="2" t="s">
        <v>78</v>
      </c>
      <c r="J959" s="3">
        <v>0.133828996282528</v>
      </c>
      <c r="K959" s="21">
        <v>1592.83333333333</v>
      </c>
      <c r="L959" s="21">
        <v>22936.8</v>
      </c>
      <c r="M959" s="21">
        <v>107.6</v>
      </c>
      <c r="N959" s="2" t="s">
        <v>79</v>
      </c>
    </row>
    <row r="960" s="2" customFormat="1" spans="1:14">
      <c r="A960" s="20">
        <v>45806</v>
      </c>
      <c r="B960" s="2" t="s">
        <v>90</v>
      </c>
      <c r="C960" s="2" t="s">
        <v>91</v>
      </c>
      <c r="D960" s="2">
        <v>2</v>
      </c>
      <c r="E960" s="2">
        <v>539</v>
      </c>
      <c r="F960" s="2">
        <v>75</v>
      </c>
      <c r="G960" s="2">
        <v>127249</v>
      </c>
      <c r="H960" s="2">
        <v>5</v>
      </c>
      <c r="I960" s="2" t="s">
        <v>78</v>
      </c>
      <c r="J960" s="3">
        <v>0.139146567717996</v>
      </c>
      <c r="K960" s="21">
        <v>1696.65333333333</v>
      </c>
      <c r="L960" s="21">
        <v>25449.8</v>
      </c>
      <c r="M960" s="21">
        <v>107.8</v>
      </c>
      <c r="N960" s="2" t="s">
        <v>79</v>
      </c>
    </row>
    <row r="961" s="2" customFormat="1" spans="1:14">
      <c r="A961" s="20">
        <v>45807</v>
      </c>
      <c r="B961" s="2" t="s">
        <v>90</v>
      </c>
      <c r="C961" s="2" t="s">
        <v>91</v>
      </c>
      <c r="D961" s="2">
        <v>2</v>
      </c>
      <c r="E961" s="2">
        <v>400</v>
      </c>
      <c r="F961" s="2">
        <v>51</v>
      </c>
      <c r="G961" s="2">
        <v>59605</v>
      </c>
      <c r="H961" s="2">
        <v>9</v>
      </c>
      <c r="I961" s="2" t="s">
        <v>78</v>
      </c>
      <c r="J961" s="3">
        <v>0.1275</v>
      </c>
      <c r="K961" s="21">
        <v>1168.72549019608</v>
      </c>
      <c r="L961" s="21">
        <v>6622.77777777778</v>
      </c>
      <c r="M961" s="21">
        <v>44.4444444444444</v>
      </c>
      <c r="N961" s="2" t="s">
        <v>79</v>
      </c>
    </row>
    <row r="962" s="2" customFormat="1" spans="1:14">
      <c r="A962" s="20">
        <v>45808</v>
      </c>
      <c r="B962" s="2" t="s">
        <v>90</v>
      </c>
      <c r="C962" s="2" t="s">
        <v>91</v>
      </c>
      <c r="D962" s="2">
        <v>2</v>
      </c>
      <c r="E962" s="2">
        <v>715</v>
      </c>
      <c r="F962" s="2">
        <v>97</v>
      </c>
      <c r="G962" s="2">
        <v>136304</v>
      </c>
      <c r="H962" s="2">
        <v>7</v>
      </c>
      <c r="I962" s="2" t="s">
        <v>78</v>
      </c>
      <c r="J962" s="3">
        <v>0.135664335664336</v>
      </c>
      <c r="K962" s="21">
        <v>1405.19587628866</v>
      </c>
      <c r="L962" s="21">
        <v>19472</v>
      </c>
      <c r="M962" s="21">
        <v>102.142857142857</v>
      </c>
      <c r="N962" s="2" t="s">
        <v>80</v>
      </c>
    </row>
    <row r="963" s="2" customFormat="1" spans="1:14">
      <c r="A963" s="20">
        <v>45809</v>
      </c>
      <c r="B963" s="2" t="s">
        <v>90</v>
      </c>
      <c r="C963" s="2" t="s">
        <v>91</v>
      </c>
      <c r="D963" s="2">
        <v>2</v>
      </c>
      <c r="E963" s="2">
        <v>759</v>
      </c>
      <c r="F963" s="2">
        <v>112</v>
      </c>
      <c r="G963" s="2">
        <v>179408</v>
      </c>
      <c r="H963" s="2">
        <v>9</v>
      </c>
      <c r="I963" s="2" t="s">
        <v>78</v>
      </c>
      <c r="J963" s="3">
        <v>0.147562582345191</v>
      </c>
      <c r="K963" s="21">
        <v>1601.85714285714</v>
      </c>
      <c r="L963" s="21">
        <v>19934.2222222222</v>
      </c>
      <c r="M963" s="21">
        <v>84.3333333333333</v>
      </c>
      <c r="N963" s="2" t="s">
        <v>80</v>
      </c>
    </row>
    <row r="964" s="2" customFormat="1" spans="1:14">
      <c r="A964" s="20">
        <v>45810</v>
      </c>
      <c r="B964" s="2" t="s">
        <v>90</v>
      </c>
      <c r="C964" s="2" t="s">
        <v>91</v>
      </c>
      <c r="D964" s="2">
        <v>2</v>
      </c>
      <c r="E964" s="2">
        <v>419</v>
      </c>
      <c r="F964" s="2">
        <v>57</v>
      </c>
      <c r="G964" s="2">
        <v>94938</v>
      </c>
      <c r="H964" s="2">
        <v>4</v>
      </c>
      <c r="I964" s="2" t="s">
        <v>78</v>
      </c>
      <c r="J964" s="3">
        <v>0.136038186157518</v>
      </c>
      <c r="K964" s="21">
        <v>1665.57894736842</v>
      </c>
      <c r="L964" s="21">
        <v>23734.5</v>
      </c>
      <c r="M964" s="21">
        <v>104.75</v>
      </c>
      <c r="N964" s="2" t="s">
        <v>79</v>
      </c>
    </row>
    <row r="965" s="2" customFormat="1" spans="1:14">
      <c r="A965" s="20">
        <v>45811</v>
      </c>
      <c r="B965" s="2" t="s">
        <v>90</v>
      </c>
      <c r="C965" s="2" t="s">
        <v>91</v>
      </c>
      <c r="D965" s="2">
        <v>2</v>
      </c>
      <c r="E965" s="2">
        <v>537</v>
      </c>
      <c r="F965" s="2">
        <v>70</v>
      </c>
      <c r="G965" s="2">
        <v>82512</v>
      </c>
      <c r="H965" s="2">
        <v>8</v>
      </c>
      <c r="I965" s="2" t="s">
        <v>81</v>
      </c>
      <c r="J965" s="3">
        <v>0.130353817504655</v>
      </c>
      <c r="K965" s="21">
        <v>1178.74285714286</v>
      </c>
      <c r="L965" s="21">
        <v>10314</v>
      </c>
      <c r="M965" s="21">
        <v>67.125</v>
      </c>
      <c r="N965" s="2" t="s">
        <v>79</v>
      </c>
    </row>
    <row r="966" s="2" customFormat="1" spans="1:14">
      <c r="A966" s="20">
        <v>45812</v>
      </c>
      <c r="B966" s="2" t="s">
        <v>90</v>
      </c>
      <c r="C966" s="2" t="s">
        <v>91</v>
      </c>
      <c r="D966" s="2">
        <v>2</v>
      </c>
      <c r="E966" s="2">
        <v>524</v>
      </c>
      <c r="F966" s="2">
        <v>72</v>
      </c>
      <c r="G966" s="2">
        <v>98102</v>
      </c>
      <c r="H966" s="2">
        <v>9</v>
      </c>
      <c r="I966" s="2" t="s">
        <v>78</v>
      </c>
      <c r="J966" s="3">
        <v>0.137404580152672</v>
      </c>
      <c r="K966" s="21">
        <v>1362.52777777778</v>
      </c>
      <c r="L966" s="21">
        <v>10900.2222222222</v>
      </c>
      <c r="M966" s="21">
        <v>58.2222222222222</v>
      </c>
      <c r="N966" s="2" t="s">
        <v>79</v>
      </c>
    </row>
    <row r="967" s="2" customFormat="1" spans="1:14">
      <c r="A967" s="20">
        <v>45813</v>
      </c>
      <c r="B967" s="2" t="s">
        <v>90</v>
      </c>
      <c r="C967" s="2" t="s">
        <v>91</v>
      </c>
      <c r="D967" s="2">
        <v>2</v>
      </c>
      <c r="E967" s="2">
        <v>512</v>
      </c>
      <c r="F967" s="2">
        <v>67</v>
      </c>
      <c r="G967" s="2">
        <v>107747</v>
      </c>
      <c r="H967" s="2">
        <v>9</v>
      </c>
      <c r="I967" s="2" t="s">
        <v>78</v>
      </c>
      <c r="J967" s="3">
        <v>0.130859375</v>
      </c>
      <c r="K967" s="21">
        <v>1608.16417910448</v>
      </c>
      <c r="L967" s="21">
        <v>11971.8888888889</v>
      </c>
      <c r="M967" s="21">
        <v>56.8888888888889</v>
      </c>
      <c r="N967" s="2" t="s">
        <v>79</v>
      </c>
    </row>
    <row r="968" s="2" customFormat="1" spans="1:14">
      <c r="A968" s="20">
        <v>45814</v>
      </c>
      <c r="B968" s="2" t="s">
        <v>90</v>
      </c>
      <c r="C968" s="2" t="s">
        <v>91</v>
      </c>
      <c r="D968" s="2">
        <v>2</v>
      </c>
      <c r="E968" s="2">
        <v>467</v>
      </c>
      <c r="F968" s="2">
        <v>62</v>
      </c>
      <c r="G968" s="2">
        <v>94720</v>
      </c>
      <c r="H968" s="2">
        <v>9</v>
      </c>
      <c r="I968" s="2" t="s">
        <v>81</v>
      </c>
      <c r="J968" s="3">
        <v>0.132762312633833</v>
      </c>
      <c r="K968" s="21">
        <v>1527.74193548387</v>
      </c>
      <c r="L968" s="21">
        <v>10524.4444444445</v>
      </c>
      <c r="M968" s="21">
        <v>51.8888888888889</v>
      </c>
      <c r="N968" s="2" t="s">
        <v>79</v>
      </c>
    </row>
    <row r="969" s="2" customFormat="1" spans="1:14">
      <c r="A969" s="20">
        <v>45815</v>
      </c>
      <c r="B969" s="2" t="s">
        <v>90</v>
      </c>
      <c r="C969" s="2" t="s">
        <v>91</v>
      </c>
      <c r="D969" s="2">
        <v>2</v>
      </c>
      <c r="E969" s="2">
        <v>629</v>
      </c>
      <c r="F969" s="2">
        <v>82</v>
      </c>
      <c r="G969" s="2">
        <v>119555</v>
      </c>
      <c r="H969" s="2">
        <v>6</v>
      </c>
      <c r="I969" s="2" t="s">
        <v>78</v>
      </c>
      <c r="J969" s="3">
        <v>0.130365659777425</v>
      </c>
      <c r="K969" s="21">
        <v>1457.98780487805</v>
      </c>
      <c r="L969" s="21">
        <v>19925.8333333333</v>
      </c>
      <c r="M969" s="21">
        <v>104.833333333333</v>
      </c>
      <c r="N969" s="2" t="s">
        <v>80</v>
      </c>
    </row>
    <row r="970" s="2" customFormat="1" spans="1:14">
      <c r="A970" s="20">
        <v>45816</v>
      </c>
      <c r="B970" s="2" t="s">
        <v>90</v>
      </c>
      <c r="C970" s="2" t="s">
        <v>91</v>
      </c>
      <c r="D970" s="2">
        <v>2</v>
      </c>
      <c r="E970" s="2">
        <v>755</v>
      </c>
      <c r="F970" s="2">
        <v>107</v>
      </c>
      <c r="G970" s="2">
        <v>158250</v>
      </c>
      <c r="H970" s="2">
        <v>8</v>
      </c>
      <c r="I970" s="2" t="s">
        <v>78</v>
      </c>
      <c r="J970" s="3">
        <v>0.141721854304636</v>
      </c>
      <c r="K970" s="21">
        <v>1478.97196261682</v>
      </c>
      <c r="L970" s="21">
        <v>19781.25</v>
      </c>
      <c r="M970" s="21">
        <v>94.375</v>
      </c>
      <c r="N970" s="2" t="s">
        <v>80</v>
      </c>
    </row>
    <row r="971" s="2" customFormat="1" spans="1:14">
      <c r="A971" s="20">
        <v>45817</v>
      </c>
      <c r="B971" s="2" t="s">
        <v>90</v>
      </c>
      <c r="C971" s="2" t="s">
        <v>91</v>
      </c>
      <c r="D971" s="2">
        <v>2</v>
      </c>
      <c r="E971" s="2">
        <v>490</v>
      </c>
      <c r="F971" s="2">
        <v>67</v>
      </c>
      <c r="G971" s="2">
        <v>100219</v>
      </c>
      <c r="H971" s="2">
        <v>8</v>
      </c>
      <c r="I971" s="2" t="s">
        <v>78</v>
      </c>
      <c r="J971" s="3">
        <v>0.136734693877551</v>
      </c>
      <c r="K971" s="21">
        <v>1495.80597014925</v>
      </c>
      <c r="L971" s="21">
        <v>12527.375</v>
      </c>
      <c r="M971" s="21">
        <v>61.25</v>
      </c>
      <c r="N971" s="2" t="s">
        <v>79</v>
      </c>
    </row>
    <row r="972" s="2" customFormat="1" spans="1:14">
      <c r="A972" s="20">
        <v>45818</v>
      </c>
      <c r="B972" s="2" t="s">
        <v>90</v>
      </c>
      <c r="C972" s="2" t="s">
        <v>91</v>
      </c>
      <c r="D972" s="2">
        <v>2</v>
      </c>
      <c r="E972" s="2">
        <v>409</v>
      </c>
      <c r="F972" s="2">
        <v>48</v>
      </c>
      <c r="G972" s="2">
        <v>78902</v>
      </c>
      <c r="H972" s="2">
        <v>4</v>
      </c>
      <c r="I972" s="2" t="s">
        <v>78</v>
      </c>
      <c r="J972" s="3">
        <v>0.117359413202934</v>
      </c>
      <c r="K972" s="21">
        <v>1643.79166666667</v>
      </c>
      <c r="L972" s="21">
        <v>19725.5</v>
      </c>
      <c r="M972" s="21">
        <v>102.25</v>
      </c>
      <c r="N972" s="2" t="s">
        <v>79</v>
      </c>
    </row>
    <row r="973" s="2" customFormat="1" spans="1:14">
      <c r="A973" s="20">
        <v>45819</v>
      </c>
      <c r="B973" s="2" t="s">
        <v>90</v>
      </c>
      <c r="C973" s="2" t="s">
        <v>91</v>
      </c>
      <c r="D973" s="2">
        <v>2</v>
      </c>
      <c r="E973" s="2">
        <v>376</v>
      </c>
      <c r="F973" s="2">
        <v>53</v>
      </c>
      <c r="G973" s="2">
        <v>74865</v>
      </c>
      <c r="H973" s="2">
        <v>7</v>
      </c>
      <c r="I973" s="2" t="s">
        <v>78</v>
      </c>
      <c r="J973" s="3">
        <v>0.140957446808511</v>
      </c>
      <c r="K973" s="21">
        <v>1412.54716981132</v>
      </c>
      <c r="L973" s="21">
        <v>10695</v>
      </c>
      <c r="M973" s="21">
        <v>53.7142857142857</v>
      </c>
      <c r="N973" s="2" t="s">
        <v>79</v>
      </c>
    </row>
    <row r="974" s="2" customFormat="1" spans="1:14">
      <c r="A974" s="20">
        <v>45820</v>
      </c>
      <c r="B974" s="2" t="s">
        <v>90</v>
      </c>
      <c r="C974" s="2" t="s">
        <v>91</v>
      </c>
      <c r="D974" s="2">
        <v>2</v>
      </c>
      <c r="E974" s="2">
        <v>433</v>
      </c>
      <c r="F974" s="2">
        <v>60</v>
      </c>
      <c r="G974" s="2">
        <v>82536</v>
      </c>
      <c r="H974" s="2">
        <v>7</v>
      </c>
      <c r="I974" s="2" t="s">
        <v>78</v>
      </c>
      <c r="J974" s="3">
        <v>0.138568129330254</v>
      </c>
      <c r="K974" s="21">
        <v>1375.6</v>
      </c>
      <c r="L974" s="21">
        <v>11790.8571428571</v>
      </c>
      <c r="M974" s="21">
        <v>61.8571428571428</v>
      </c>
      <c r="N974" s="2" t="s">
        <v>79</v>
      </c>
    </row>
    <row r="975" s="2" customFormat="1" spans="1:14">
      <c r="A975" s="20">
        <v>45821</v>
      </c>
      <c r="B975" s="2" t="s">
        <v>90</v>
      </c>
      <c r="C975" s="2" t="s">
        <v>91</v>
      </c>
      <c r="D975" s="2">
        <v>2</v>
      </c>
      <c r="E975" s="2">
        <v>495</v>
      </c>
      <c r="F975" s="2">
        <v>59</v>
      </c>
      <c r="G975" s="2">
        <v>80947</v>
      </c>
      <c r="H975" s="2">
        <v>6</v>
      </c>
      <c r="I975" s="2" t="s">
        <v>78</v>
      </c>
      <c r="J975" s="3">
        <v>0.119191919191919</v>
      </c>
      <c r="K975" s="21">
        <v>1371.98305084746</v>
      </c>
      <c r="L975" s="21">
        <v>13491.1666666667</v>
      </c>
      <c r="M975" s="21">
        <v>82.5</v>
      </c>
      <c r="N975" s="2" t="s">
        <v>79</v>
      </c>
    </row>
    <row r="976" s="2" customFormat="1" spans="1:14">
      <c r="A976" s="20">
        <v>45822</v>
      </c>
      <c r="B976" s="2" t="s">
        <v>90</v>
      </c>
      <c r="C976" s="2" t="s">
        <v>91</v>
      </c>
      <c r="D976" s="2">
        <v>2</v>
      </c>
      <c r="E976" s="2">
        <v>728</v>
      </c>
      <c r="F976" s="2">
        <v>91</v>
      </c>
      <c r="G976" s="2">
        <v>128851</v>
      </c>
      <c r="H976" s="2">
        <v>6</v>
      </c>
      <c r="I976" s="2" t="s">
        <v>78</v>
      </c>
      <c r="J976" s="3">
        <v>0.125</v>
      </c>
      <c r="K976" s="21">
        <v>1415.94505494506</v>
      </c>
      <c r="L976" s="21">
        <v>21475.1666666667</v>
      </c>
      <c r="M976" s="21">
        <v>121.333333333333</v>
      </c>
      <c r="N976" s="2" t="s">
        <v>80</v>
      </c>
    </row>
    <row r="977" s="2" customFormat="1" spans="1:14">
      <c r="A977" s="20">
        <v>45823</v>
      </c>
      <c r="B977" s="2" t="s">
        <v>90</v>
      </c>
      <c r="C977" s="2" t="s">
        <v>91</v>
      </c>
      <c r="D977" s="2">
        <v>2</v>
      </c>
      <c r="E977" s="2">
        <v>676</v>
      </c>
      <c r="F977" s="2">
        <v>102</v>
      </c>
      <c r="G977" s="2">
        <v>165199</v>
      </c>
      <c r="H977" s="2">
        <v>9</v>
      </c>
      <c r="I977" s="2" t="s">
        <v>78</v>
      </c>
      <c r="J977" s="3">
        <v>0.150887573964497</v>
      </c>
      <c r="K977" s="21">
        <v>1619.59803921569</v>
      </c>
      <c r="L977" s="21">
        <v>18355.4444444444</v>
      </c>
      <c r="M977" s="21">
        <v>75.1111111111111</v>
      </c>
      <c r="N977" s="2" t="s">
        <v>80</v>
      </c>
    </row>
    <row r="978" s="2" customFormat="1" spans="1:14">
      <c r="A978" s="20">
        <v>45824</v>
      </c>
      <c r="B978" s="2" t="s">
        <v>90</v>
      </c>
      <c r="C978" s="2" t="s">
        <v>91</v>
      </c>
      <c r="D978" s="2">
        <v>2</v>
      </c>
      <c r="E978" s="2">
        <v>482</v>
      </c>
      <c r="F978" s="2">
        <v>61</v>
      </c>
      <c r="G978" s="2">
        <v>101228</v>
      </c>
      <c r="H978" s="2">
        <v>7</v>
      </c>
      <c r="I978" s="2" t="s">
        <v>78</v>
      </c>
      <c r="J978" s="3">
        <v>0.12655601659751</v>
      </c>
      <c r="K978" s="21">
        <v>1659.47540983607</v>
      </c>
      <c r="L978" s="21">
        <v>14461.1428571429</v>
      </c>
      <c r="M978" s="21">
        <v>68.8571428571429</v>
      </c>
      <c r="N978" s="2" t="s">
        <v>79</v>
      </c>
    </row>
    <row r="979" s="2" customFormat="1" spans="1:14">
      <c r="A979" s="20">
        <v>45825</v>
      </c>
      <c r="B979" s="2" t="s">
        <v>90</v>
      </c>
      <c r="C979" s="2" t="s">
        <v>91</v>
      </c>
      <c r="D979" s="2">
        <v>2</v>
      </c>
      <c r="E979" s="2">
        <v>489</v>
      </c>
      <c r="F979" s="2">
        <v>72</v>
      </c>
      <c r="G979" s="2">
        <v>108117</v>
      </c>
      <c r="H979" s="2">
        <v>9</v>
      </c>
      <c r="I979" s="2" t="s">
        <v>81</v>
      </c>
      <c r="J979" s="3">
        <v>0.147239263803681</v>
      </c>
      <c r="K979" s="21">
        <v>1501.625</v>
      </c>
      <c r="L979" s="21">
        <v>12013</v>
      </c>
      <c r="M979" s="21">
        <v>54.3333333333333</v>
      </c>
      <c r="N979" s="2" t="s">
        <v>79</v>
      </c>
    </row>
    <row r="980" s="2" customFormat="1" spans="1:14">
      <c r="A980" s="20">
        <v>45826</v>
      </c>
      <c r="B980" s="2" t="s">
        <v>90</v>
      </c>
      <c r="C980" s="2" t="s">
        <v>91</v>
      </c>
      <c r="D980" s="2">
        <v>2</v>
      </c>
      <c r="E980" s="2">
        <v>463</v>
      </c>
      <c r="F980" s="2">
        <v>67</v>
      </c>
      <c r="G980" s="2">
        <v>93221</v>
      </c>
      <c r="H980" s="2">
        <v>7</v>
      </c>
      <c r="I980" s="2" t="s">
        <v>81</v>
      </c>
      <c r="J980" s="3">
        <v>0.144708423326134</v>
      </c>
      <c r="K980" s="21">
        <v>1391.35820895522</v>
      </c>
      <c r="L980" s="21">
        <v>13317.2857142857</v>
      </c>
      <c r="M980" s="21">
        <v>66.1428571428571</v>
      </c>
      <c r="N980" s="2" t="s">
        <v>79</v>
      </c>
    </row>
    <row r="981" s="2" customFormat="1" spans="1:14">
      <c r="A981" s="20">
        <v>45827</v>
      </c>
      <c r="B981" s="2" t="s">
        <v>90</v>
      </c>
      <c r="C981" s="2" t="s">
        <v>91</v>
      </c>
      <c r="D981" s="2">
        <v>2</v>
      </c>
      <c r="E981" s="2">
        <v>393</v>
      </c>
      <c r="F981" s="2">
        <v>46</v>
      </c>
      <c r="G981" s="2">
        <v>73019</v>
      </c>
      <c r="H981" s="2">
        <v>5</v>
      </c>
      <c r="I981" s="2" t="s">
        <v>78</v>
      </c>
      <c r="J981" s="3">
        <v>0.11704834605598</v>
      </c>
      <c r="K981" s="21">
        <v>1587.36956521739</v>
      </c>
      <c r="L981" s="21">
        <v>14603.8</v>
      </c>
      <c r="M981" s="21">
        <v>78.6</v>
      </c>
      <c r="N981" s="2" t="s">
        <v>79</v>
      </c>
    </row>
    <row r="982" s="2" customFormat="1" spans="1:14">
      <c r="A982" s="20">
        <v>45828</v>
      </c>
      <c r="B982" s="2" t="s">
        <v>90</v>
      </c>
      <c r="C982" s="2" t="s">
        <v>91</v>
      </c>
      <c r="D982" s="2">
        <v>2</v>
      </c>
      <c r="E982" s="2">
        <v>442</v>
      </c>
      <c r="F982" s="2">
        <v>55</v>
      </c>
      <c r="G982" s="2">
        <v>62123</v>
      </c>
      <c r="H982" s="2">
        <v>4</v>
      </c>
      <c r="I982" s="2" t="s">
        <v>78</v>
      </c>
      <c r="J982" s="3">
        <v>0.124434389140271</v>
      </c>
      <c r="K982" s="21">
        <v>1129.50909090909</v>
      </c>
      <c r="L982" s="21">
        <v>15530.75</v>
      </c>
      <c r="M982" s="21">
        <v>110.5</v>
      </c>
      <c r="N982" s="2" t="s">
        <v>79</v>
      </c>
    </row>
    <row r="983" s="2" customFormat="1" spans="1:14">
      <c r="A983" s="20">
        <v>45829</v>
      </c>
      <c r="B983" s="2" t="s">
        <v>90</v>
      </c>
      <c r="C983" s="2" t="s">
        <v>91</v>
      </c>
      <c r="D983" s="2">
        <v>2</v>
      </c>
      <c r="E983" s="2">
        <v>654</v>
      </c>
      <c r="F983" s="2">
        <v>92</v>
      </c>
      <c r="G983" s="2">
        <v>153225</v>
      </c>
      <c r="H983" s="2">
        <v>6</v>
      </c>
      <c r="I983" s="2" t="s">
        <v>78</v>
      </c>
      <c r="J983" s="3">
        <v>0.140672782874618</v>
      </c>
      <c r="K983" s="21">
        <v>1665.48913043478</v>
      </c>
      <c r="L983" s="21">
        <v>25537.5</v>
      </c>
      <c r="M983" s="21">
        <v>109</v>
      </c>
      <c r="N983" s="2" t="s">
        <v>80</v>
      </c>
    </row>
    <row r="984" s="2" customFormat="1" spans="1:14">
      <c r="A984" s="20">
        <v>45830</v>
      </c>
      <c r="B984" s="2" t="s">
        <v>90</v>
      </c>
      <c r="C984" s="2" t="s">
        <v>91</v>
      </c>
      <c r="D984" s="2">
        <v>2</v>
      </c>
      <c r="E984" s="2">
        <v>657</v>
      </c>
      <c r="F984" s="2">
        <v>83</v>
      </c>
      <c r="G984" s="2">
        <v>114964</v>
      </c>
      <c r="H984" s="2">
        <v>6</v>
      </c>
      <c r="I984" s="2" t="s">
        <v>78</v>
      </c>
      <c r="J984" s="3">
        <v>0.126331811263318</v>
      </c>
      <c r="K984" s="21">
        <v>1385.10843373494</v>
      </c>
      <c r="L984" s="21">
        <v>19160.6666666667</v>
      </c>
      <c r="M984" s="21">
        <v>109.5</v>
      </c>
      <c r="N984" s="2" t="s">
        <v>80</v>
      </c>
    </row>
    <row r="985" s="2" customFormat="1" spans="1:14">
      <c r="A985" s="20">
        <v>45831</v>
      </c>
      <c r="B985" s="2" t="s">
        <v>90</v>
      </c>
      <c r="C985" s="2" t="s">
        <v>91</v>
      </c>
      <c r="D985" s="2">
        <v>2</v>
      </c>
      <c r="E985" s="2">
        <v>488</v>
      </c>
      <c r="F985" s="2">
        <v>56</v>
      </c>
      <c r="G985" s="2">
        <v>67753</v>
      </c>
      <c r="H985" s="2">
        <v>4</v>
      </c>
      <c r="I985" s="2" t="s">
        <v>78</v>
      </c>
      <c r="J985" s="3">
        <v>0.114754098360656</v>
      </c>
      <c r="K985" s="21">
        <v>1209.875</v>
      </c>
      <c r="L985" s="21">
        <v>16938.25</v>
      </c>
      <c r="M985" s="21">
        <v>122</v>
      </c>
      <c r="N985" s="2" t="s">
        <v>79</v>
      </c>
    </row>
    <row r="986" s="2" customFormat="1" spans="1:14">
      <c r="A986" s="20">
        <v>45832</v>
      </c>
      <c r="B986" s="2" t="s">
        <v>90</v>
      </c>
      <c r="C986" s="2" t="s">
        <v>91</v>
      </c>
      <c r="D986" s="2">
        <v>2</v>
      </c>
      <c r="E986" s="2">
        <v>456</v>
      </c>
      <c r="F986" s="2">
        <v>65</v>
      </c>
      <c r="G986" s="2">
        <v>77529</v>
      </c>
      <c r="H986" s="2">
        <v>8</v>
      </c>
      <c r="I986" s="2" t="s">
        <v>78</v>
      </c>
      <c r="J986" s="3">
        <v>0.142543859649123</v>
      </c>
      <c r="K986" s="21">
        <v>1192.75384615385</v>
      </c>
      <c r="L986" s="21">
        <v>9691.125</v>
      </c>
      <c r="M986" s="21">
        <v>57</v>
      </c>
      <c r="N986" s="2" t="s">
        <v>79</v>
      </c>
    </row>
    <row r="987" s="2" customFormat="1" spans="1:14">
      <c r="A987" s="20">
        <v>45833</v>
      </c>
      <c r="B987" s="2" t="s">
        <v>90</v>
      </c>
      <c r="C987" s="2" t="s">
        <v>91</v>
      </c>
      <c r="D987" s="2">
        <v>2</v>
      </c>
      <c r="E987" s="2">
        <v>488</v>
      </c>
      <c r="F987" s="2">
        <v>68</v>
      </c>
      <c r="G987" s="2">
        <v>109333</v>
      </c>
      <c r="H987" s="2">
        <v>9</v>
      </c>
      <c r="I987" s="2" t="s">
        <v>78</v>
      </c>
      <c r="J987" s="3">
        <v>0.139344262295082</v>
      </c>
      <c r="K987" s="21">
        <v>1607.83823529412</v>
      </c>
      <c r="L987" s="21">
        <v>12148.1111111111</v>
      </c>
      <c r="M987" s="21">
        <v>54.2222222222222</v>
      </c>
      <c r="N987" s="2" t="s">
        <v>79</v>
      </c>
    </row>
    <row r="988" s="2" customFormat="1" spans="1:14">
      <c r="A988" s="20">
        <v>45834</v>
      </c>
      <c r="B988" s="2" t="s">
        <v>90</v>
      </c>
      <c r="C988" s="2" t="s">
        <v>91</v>
      </c>
      <c r="D988" s="2">
        <v>2</v>
      </c>
      <c r="E988" s="2">
        <v>467</v>
      </c>
      <c r="F988" s="2">
        <v>55</v>
      </c>
      <c r="G988" s="2">
        <v>67245</v>
      </c>
      <c r="H988" s="2">
        <v>6</v>
      </c>
      <c r="I988" s="2" t="s">
        <v>81</v>
      </c>
      <c r="J988" s="3">
        <v>0.117773019271949</v>
      </c>
      <c r="K988" s="21">
        <v>1222.63636363636</v>
      </c>
      <c r="L988" s="21">
        <v>11207.5</v>
      </c>
      <c r="M988" s="21">
        <v>77.8333333333333</v>
      </c>
      <c r="N988" s="2" t="s">
        <v>79</v>
      </c>
    </row>
    <row r="989" s="2" customFormat="1" spans="1:14">
      <c r="A989" s="20">
        <v>45835</v>
      </c>
      <c r="B989" s="2" t="s">
        <v>90</v>
      </c>
      <c r="C989" s="2" t="s">
        <v>91</v>
      </c>
      <c r="D989" s="2">
        <v>2</v>
      </c>
      <c r="E989" s="2">
        <v>522</v>
      </c>
      <c r="F989" s="2">
        <v>67</v>
      </c>
      <c r="G989" s="2">
        <v>97836</v>
      </c>
      <c r="H989" s="2">
        <v>7</v>
      </c>
      <c r="I989" s="2" t="s">
        <v>78</v>
      </c>
      <c r="J989" s="3">
        <v>0.128352490421456</v>
      </c>
      <c r="K989" s="21">
        <v>1460.23880597015</v>
      </c>
      <c r="L989" s="21">
        <v>13976.5714285714</v>
      </c>
      <c r="M989" s="21">
        <v>74.5714285714286</v>
      </c>
      <c r="N989" s="2" t="s">
        <v>79</v>
      </c>
    </row>
    <row r="990" s="2" customFormat="1" spans="1:14">
      <c r="A990" s="20">
        <v>45836</v>
      </c>
      <c r="B990" s="2" t="s">
        <v>90</v>
      </c>
      <c r="C990" s="2" t="s">
        <v>91</v>
      </c>
      <c r="D990" s="2">
        <v>2</v>
      </c>
      <c r="E990" s="2">
        <v>669</v>
      </c>
      <c r="F990" s="2">
        <v>85</v>
      </c>
      <c r="G990" s="2">
        <v>97695</v>
      </c>
      <c r="H990" s="2">
        <v>8</v>
      </c>
      <c r="I990" s="2" t="s">
        <v>78</v>
      </c>
      <c r="J990" s="3">
        <v>0.127055306427504</v>
      </c>
      <c r="K990" s="21">
        <v>1149.35294117647</v>
      </c>
      <c r="L990" s="21">
        <v>12211.875</v>
      </c>
      <c r="M990" s="21">
        <v>83.625</v>
      </c>
      <c r="N990" s="2" t="s">
        <v>80</v>
      </c>
    </row>
    <row r="991" s="2" customFormat="1" spans="1:14">
      <c r="A991" s="20">
        <v>45837</v>
      </c>
      <c r="B991" s="2" t="s">
        <v>90</v>
      </c>
      <c r="C991" s="2" t="s">
        <v>91</v>
      </c>
      <c r="D991" s="2">
        <v>2</v>
      </c>
      <c r="E991" s="2">
        <v>698</v>
      </c>
      <c r="F991" s="2">
        <v>98</v>
      </c>
      <c r="G991" s="2">
        <v>139230</v>
      </c>
      <c r="H991" s="2">
        <v>8</v>
      </c>
      <c r="I991" s="2" t="s">
        <v>81</v>
      </c>
      <c r="J991" s="3">
        <v>0.140401146131805</v>
      </c>
      <c r="K991" s="21">
        <v>1420.71428571429</v>
      </c>
      <c r="L991" s="21">
        <v>17403.75</v>
      </c>
      <c r="M991" s="21">
        <v>87.25</v>
      </c>
      <c r="N991" s="2" t="s">
        <v>80</v>
      </c>
    </row>
    <row r="992" s="2" customFormat="1" spans="1:14">
      <c r="A992" s="20">
        <v>45838</v>
      </c>
      <c r="B992" s="2" t="s">
        <v>90</v>
      </c>
      <c r="C992" s="2" t="s">
        <v>91</v>
      </c>
      <c r="D992" s="2">
        <v>2</v>
      </c>
      <c r="E992" s="2">
        <v>376</v>
      </c>
      <c r="F992" s="2">
        <v>47</v>
      </c>
      <c r="G992" s="2">
        <v>76252</v>
      </c>
      <c r="H992" s="2">
        <v>8</v>
      </c>
      <c r="I992" s="2" t="s">
        <v>78</v>
      </c>
      <c r="J992" s="3">
        <v>0.125</v>
      </c>
      <c r="K992" s="21">
        <v>1622.3829787234</v>
      </c>
      <c r="L992" s="21">
        <v>9531.5</v>
      </c>
      <c r="M992" s="21">
        <v>47</v>
      </c>
      <c r="N992" s="2" t="s">
        <v>79</v>
      </c>
    </row>
    <row r="993" s="2" customFormat="1" spans="1:14">
      <c r="A993" s="20">
        <v>45839</v>
      </c>
      <c r="B993" s="2" t="s">
        <v>90</v>
      </c>
      <c r="C993" s="2" t="s">
        <v>91</v>
      </c>
      <c r="D993" s="2">
        <v>2</v>
      </c>
      <c r="E993" s="2">
        <v>547</v>
      </c>
      <c r="F993" s="2">
        <v>70</v>
      </c>
      <c r="G993" s="2">
        <v>115573</v>
      </c>
      <c r="H993" s="2">
        <v>6</v>
      </c>
      <c r="I993" s="2" t="s">
        <v>78</v>
      </c>
      <c r="J993" s="3">
        <v>0.127970749542962</v>
      </c>
      <c r="K993" s="21">
        <v>1651.04285714286</v>
      </c>
      <c r="L993" s="21">
        <v>19262.1666666667</v>
      </c>
      <c r="M993" s="21">
        <v>91.1666666666667</v>
      </c>
      <c r="N993" s="2" t="s">
        <v>79</v>
      </c>
    </row>
    <row r="994" s="2" customFormat="1" spans="1:14">
      <c r="A994" s="20">
        <v>45840</v>
      </c>
      <c r="B994" s="2" t="s">
        <v>90</v>
      </c>
      <c r="C994" s="2" t="s">
        <v>91</v>
      </c>
      <c r="D994" s="2">
        <v>2</v>
      </c>
      <c r="E994" s="2">
        <v>443</v>
      </c>
      <c r="F994" s="2">
        <v>57</v>
      </c>
      <c r="G994" s="2">
        <v>80975</v>
      </c>
      <c r="H994" s="2">
        <v>6</v>
      </c>
      <c r="I994" s="2" t="s">
        <v>78</v>
      </c>
      <c r="J994" s="3">
        <v>0.128668171557562</v>
      </c>
      <c r="K994" s="21">
        <v>1420.61403508772</v>
      </c>
      <c r="L994" s="21">
        <v>13495.8333333333</v>
      </c>
      <c r="M994" s="21">
        <v>73.8333333333333</v>
      </c>
      <c r="N994" s="2" t="s">
        <v>79</v>
      </c>
    </row>
    <row r="995" s="2" customFormat="1" spans="1:14">
      <c r="A995" s="20">
        <v>45841</v>
      </c>
      <c r="B995" s="2" t="s">
        <v>90</v>
      </c>
      <c r="C995" s="2" t="s">
        <v>91</v>
      </c>
      <c r="D995" s="2">
        <v>2</v>
      </c>
      <c r="E995" s="2">
        <v>400</v>
      </c>
      <c r="F995" s="2">
        <v>50</v>
      </c>
      <c r="G995" s="2">
        <v>55775</v>
      </c>
      <c r="H995" s="2">
        <v>6</v>
      </c>
      <c r="I995" s="2" t="s">
        <v>78</v>
      </c>
      <c r="J995" s="3">
        <v>0.125</v>
      </c>
      <c r="K995" s="21">
        <v>1115.5</v>
      </c>
      <c r="L995" s="21">
        <v>9295.83333333333</v>
      </c>
      <c r="M995" s="21">
        <v>66.6666666666667</v>
      </c>
      <c r="N995" s="2" t="s">
        <v>79</v>
      </c>
    </row>
    <row r="996" s="2" customFormat="1" spans="1:14">
      <c r="A996" s="20">
        <v>45842</v>
      </c>
      <c r="B996" s="2" t="s">
        <v>90</v>
      </c>
      <c r="C996" s="2" t="s">
        <v>91</v>
      </c>
      <c r="D996" s="2">
        <v>2</v>
      </c>
      <c r="E996" s="2">
        <v>503</v>
      </c>
      <c r="F996" s="2">
        <v>63</v>
      </c>
      <c r="G996" s="2">
        <v>84832</v>
      </c>
      <c r="H996" s="2">
        <v>9</v>
      </c>
      <c r="I996" s="2" t="s">
        <v>78</v>
      </c>
      <c r="J996" s="3">
        <v>0.125248508946322</v>
      </c>
      <c r="K996" s="21">
        <v>1346.53968253968</v>
      </c>
      <c r="L996" s="21">
        <v>9425.77777777778</v>
      </c>
      <c r="M996" s="21">
        <v>55.8888888888889</v>
      </c>
      <c r="N996" s="2" t="s">
        <v>79</v>
      </c>
    </row>
    <row r="997" s="2" customFormat="1" spans="1:14">
      <c r="A997" s="20">
        <v>45843</v>
      </c>
      <c r="B997" s="2" t="s">
        <v>90</v>
      </c>
      <c r="C997" s="2" t="s">
        <v>91</v>
      </c>
      <c r="D997" s="2">
        <v>2</v>
      </c>
      <c r="E997" s="2">
        <v>597</v>
      </c>
      <c r="F997" s="2">
        <v>78</v>
      </c>
      <c r="G997" s="2">
        <v>87972</v>
      </c>
      <c r="H997" s="2">
        <v>9</v>
      </c>
      <c r="I997" s="2" t="s">
        <v>78</v>
      </c>
      <c r="J997" s="3">
        <v>0.130653266331658</v>
      </c>
      <c r="K997" s="21">
        <v>1127.84615384615</v>
      </c>
      <c r="L997" s="21">
        <v>9774.66666666667</v>
      </c>
      <c r="M997" s="21">
        <v>66.3333333333333</v>
      </c>
      <c r="N997" s="2" t="s">
        <v>80</v>
      </c>
    </row>
    <row r="998" s="2" customFormat="1" spans="1:14">
      <c r="A998" s="20">
        <v>45844</v>
      </c>
      <c r="B998" s="2" t="s">
        <v>90</v>
      </c>
      <c r="C998" s="2" t="s">
        <v>91</v>
      </c>
      <c r="D998" s="2">
        <v>2</v>
      </c>
      <c r="E998" s="2">
        <v>686</v>
      </c>
      <c r="F998" s="2">
        <v>91</v>
      </c>
      <c r="G998" s="2">
        <v>149522</v>
      </c>
      <c r="H998" s="2">
        <v>6</v>
      </c>
      <c r="I998" s="2" t="s">
        <v>81</v>
      </c>
      <c r="J998" s="3">
        <v>0.13265306122449</v>
      </c>
      <c r="K998" s="21">
        <v>1643.0989010989</v>
      </c>
      <c r="L998" s="21">
        <v>24920.3333333333</v>
      </c>
      <c r="M998" s="21">
        <v>114.333333333333</v>
      </c>
      <c r="N998" s="2" t="s">
        <v>80</v>
      </c>
    </row>
    <row r="999" s="2" customFormat="1" spans="1:14">
      <c r="A999" s="20">
        <v>45845</v>
      </c>
      <c r="B999" s="2" t="s">
        <v>90</v>
      </c>
      <c r="C999" s="2" t="s">
        <v>91</v>
      </c>
      <c r="D999" s="2">
        <v>2</v>
      </c>
      <c r="E999" s="2">
        <v>527</v>
      </c>
      <c r="F999" s="2">
        <v>62</v>
      </c>
      <c r="G999" s="2">
        <v>78177</v>
      </c>
      <c r="H999" s="2">
        <v>4</v>
      </c>
      <c r="I999" s="2" t="s">
        <v>78</v>
      </c>
      <c r="J999" s="3">
        <v>0.117647058823529</v>
      </c>
      <c r="K999" s="21">
        <v>1260.91935483871</v>
      </c>
      <c r="L999" s="21">
        <v>19544.25</v>
      </c>
      <c r="M999" s="21">
        <v>131.75</v>
      </c>
      <c r="N999" s="2" t="s">
        <v>79</v>
      </c>
    </row>
    <row r="1000" s="2" customFormat="1" spans="1:14">
      <c r="A1000" s="20">
        <v>45846</v>
      </c>
      <c r="B1000" s="2" t="s">
        <v>90</v>
      </c>
      <c r="C1000" s="2" t="s">
        <v>91</v>
      </c>
      <c r="D1000" s="2">
        <v>2</v>
      </c>
      <c r="E1000" s="2">
        <v>587</v>
      </c>
      <c r="F1000" s="2">
        <v>73</v>
      </c>
      <c r="G1000" s="2">
        <v>95528</v>
      </c>
      <c r="H1000" s="2">
        <v>5</v>
      </c>
      <c r="I1000" s="2" t="s">
        <v>78</v>
      </c>
      <c r="J1000" s="3">
        <v>0.124361158432709</v>
      </c>
      <c r="K1000" s="21">
        <v>1308.60273972603</v>
      </c>
      <c r="L1000" s="21">
        <v>19105.6</v>
      </c>
      <c r="M1000" s="21">
        <v>117.4</v>
      </c>
      <c r="N1000" s="2" t="s">
        <v>79</v>
      </c>
    </row>
    <row r="1001" s="2" customFormat="1" spans="1:14">
      <c r="A1001" s="20">
        <v>45847</v>
      </c>
      <c r="B1001" s="2" t="s">
        <v>90</v>
      </c>
      <c r="C1001" s="2" t="s">
        <v>91</v>
      </c>
      <c r="D1001" s="2">
        <v>2</v>
      </c>
      <c r="E1001" s="2">
        <v>504</v>
      </c>
      <c r="F1001" s="2">
        <v>65</v>
      </c>
      <c r="G1001" s="2">
        <v>91951</v>
      </c>
      <c r="H1001" s="2">
        <v>5</v>
      </c>
      <c r="I1001" s="2" t="s">
        <v>78</v>
      </c>
      <c r="J1001" s="3">
        <v>0.128968253968254</v>
      </c>
      <c r="K1001" s="21">
        <v>1414.63076923077</v>
      </c>
      <c r="L1001" s="21">
        <v>18390.2</v>
      </c>
      <c r="M1001" s="21">
        <v>100.8</v>
      </c>
      <c r="N1001" s="2" t="s">
        <v>79</v>
      </c>
    </row>
    <row r="1002" s="2" customFormat="1" spans="1:14">
      <c r="A1002" s="20">
        <v>45848</v>
      </c>
      <c r="B1002" s="2" t="s">
        <v>90</v>
      </c>
      <c r="C1002" s="2" t="s">
        <v>91</v>
      </c>
      <c r="D1002" s="2">
        <v>2</v>
      </c>
      <c r="E1002" s="2">
        <v>535</v>
      </c>
      <c r="F1002" s="2">
        <v>76</v>
      </c>
      <c r="G1002" s="2">
        <v>94450</v>
      </c>
      <c r="H1002" s="2">
        <v>7</v>
      </c>
      <c r="I1002" s="2" t="s">
        <v>78</v>
      </c>
      <c r="J1002" s="3">
        <v>0.142056074766355</v>
      </c>
      <c r="K1002" s="21">
        <v>1242.76315789474</v>
      </c>
      <c r="L1002" s="21">
        <v>13492.8571428571</v>
      </c>
      <c r="M1002" s="21">
        <v>76.4285714285714</v>
      </c>
      <c r="N1002" s="2" t="s">
        <v>79</v>
      </c>
    </row>
    <row r="1003" s="2" customFormat="1" spans="1:14">
      <c r="A1003" s="20">
        <v>45849</v>
      </c>
      <c r="B1003" s="2" t="s">
        <v>90</v>
      </c>
      <c r="C1003" s="2" t="s">
        <v>91</v>
      </c>
      <c r="D1003" s="2">
        <v>2</v>
      </c>
      <c r="E1003" s="2">
        <v>472</v>
      </c>
      <c r="F1003" s="2">
        <v>64</v>
      </c>
      <c r="G1003" s="2">
        <v>91273</v>
      </c>
      <c r="H1003" s="2">
        <v>4</v>
      </c>
      <c r="I1003" s="2" t="s">
        <v>78</v>
      </c>
      <c r="J1003" s="3">
        <v>0.135593220338983</v>
      </c>
      <c r="K1003" s="21">
        <v>1426.140625</v>
      </c>
      <c r="L1003" s="21">
        <v>22818.25</v>
      </c>
      <c r="M1003" s="21">
        <v>118</v>
      </c>
      <c r="N1003" s="2" t="s">
        <v>79</v>
      </c>
    </row>
    <row r="1004" s="2" customFormat="1" spans="1:14">
      <c r="A1004" s="20">
        <v>45850</v>
      </c>
      <c r="B1004" s="2" t="s">
        <v>90</v>
      </c>
      <c r="C1004" s="2" t="s">
        <v>91</v>
      </c>
      <c r="D1004" s="2">
        <v>2</v>
      </c>
      <c r="E1004" s="2">
        <v>637</v>
      </c>
      <c r="F1004" s="2">
        <v>93</v>
      </c>
      <c r="G1004" s="2">
        <v>152562</v>
      </c>
      <c r="H1004" s="2">
        <v>8</v>
      </c>
      <c r="I1004" s="2" t="s">
        <v>81</v>
      </c>
      <c r="J1004" s="3">
        <v>0.145996860282575</v>
      </c>
      <c r="K1004" s="21">
        <v>1640.45161290323</v>
      </c>
      <c r="L1004" s="21">
        <v>19070.25</v>
      </c>
      <c r="M1004" s="21">
        <v>79.625</v>
      </c>
      <c r="N1004" s="2" t="s">
        <v>80</v>
      </c>
    </row>
    <row r="1005" s="2" customFormat="1" spans="1:14">
      <c r="A1005" s="20">
        <v>45851</v>
      </c>
      <c r="B1005" s="2" t="s">
        <v>90</v>
      </c>
      <c r="C1005" s="2" t="s">
        <v>91</v>
      </c>
      <c r="D1005" s="2">
        <v>2</v>
      </c>
      <c r="E1005" s="2">
        <v>725</v>
      </c>
      <c r="F1005" s="2">
        <v>98</v>
      </c>
      <c r="G1005" s="2">
        <v>161181</v>
      </c>
      <c r="H1005" s="2">
        <v>4</v>
      </c>
      <c r="I1005" s="2" t="s">
        <v>78</v>
      </c>
      <c r="J1005" s="3">
        <v>0.135172413793103</v>
      </c>
      <c r="K1005" s="21">
        <v>1644.70408163265</v>
      </c>
      <c r="L1005" s="21">
        <v>40295.25</v>
      </c>
      <c r="M1005" s="21">
        <v>181.25</v>
      </c>
      <c r="N1005" s="2" t="s">
        <v>80</v>
      </c>
    </row>
    <row r="1006" s="2" customFormat="1" spans="1:14">
      <c r="A1006" s="20">
        <v>45852</v>
      </c>
      <c r="B1006" s="2" t="s">
        <v>90</v>
      </c>
      <c r="C1006" s="2" t="s">
        <v>91</v>
      </c>
      <c r="D1006" s="2">
        <v>2</v>
      </c>
      <c r="E1006" s="2">
        <v>411</v>
      </c>
      <c r="F1006" s="2">
        <v>54</v>
      </c>
      <c r="G1006" s="2">
        <v>86759</v>
      </c>
      <c r="H1006" s="2">
        <v>5</v>
      </c>
      <c r="I1006" s="2" t="s">
        <v>78</v>
      </c>
      <c r="J1006" s="3">
        <v>0.131386861313869</v>
      </c>
      <c r="K1006" s="21">
        <v>1606.64814814815</v>
      </c>
      <c r="L1006" s="21">
        <v>17351.8</v>
      </c>
      <c r="M1006" s="21">
        <v>82.2</v>
      </c>
      <c r="N1006" s="2" t="s">
        <v>79</v>
      </c>
    </row>
    <row r="1007" s="2" customFormat="1" spans="1:14">
      <c r="A1007" s="20">
        <v>45853</v>
      </c>
      <c r="B1007" s="2" t="s">
        <v>90</v>
      </c>
      <c r="C1007" s="2" t="s">
        <v>91</v>
      </c>
      <c r="D1007" s="2">
        <v>2</v>
      </c>
      <c r="E1007" s="2">
        <v>408</v>
      </c>
      <c r="F1007" s="2">
        <v>60</v>
      </c>
      <c r="G1007" s="2">
        <v>70728</v>
      </c>
      <c r="H1007" s="2">
        <v>9</v>
      </c>
      <c r="I1007" s="2" t="s">
        <v>78</v>
      </c>
      <c r="J1007" s="3">
        <v>0.147058823529412</v>
      </c>
      <c r="K1007" s="21">
        <v>1178.8</v>
      </c>
      <c r="L1007" s="21">
        <v>7858.66666666667</v>
      </c>
      <c r="M1007" s="21">
        <v>45.3333333333333</v>
      </c>
      <c r="N1007" s="2" t="s">
        <v>79</v>
      </c>
    </row>
    <row r="1008" s="2" customFormat="1" spans="1:14">
      <c r="A1008" s="20">
        <v>45854</v>
      </c>
      <c r="B1008" s="2" t="s">
        <v>90</v>
      </c>
      <c r="C1008" s="2" t="s">
        <v>91</v>
      </c>
      <c r="D1008" s="2">
        <v>2</v>
      </c>
      <c r="E1008" s="2">
        <v>392</v>
      </c>
      <c r="F1008" s="2">
        <v>52</v>
      </c>
      <c r="G1008" s="2">
        <v>83367</v>
      </c>
      <c r="H1008" s="2">
        <v>6</v>
      </c>
      <c r="I1008" s="2" t="s">
        <v>78</v>
      </c>
      <c r="J1008" s="3">
        <v>0.13265306122449</v>
      </c>
      <c r="K1008" s="21">
        <v>1603.21153846154</v>
      </c>
      <c r="L1008" s="21">
        <v>13894.5</v>
      </c>
      <c r="M1008" s="21">
        <v>65.3333333333333</v>
      </c>
      <c r="N1008" s="2" t="s">
        <v>79</v>
      </c>
    </row>
    <row r="1009" s="2" customFormat="1" spans="1:14">
      <c r="A1009" s="20">
        <v>45855</v>
      </c>
      <c r="B1009" s="2" t="s">
        <v>90</v>
      </c>
      <c r="C1009" s="2" t="s">
        <v>91</v>
      </c>
      <c r="D1009" s="2">
        <v>2</v>
      </c>
      <c r="E1009" s="2">
        <v>595</v>
      </c>
      <c r="F1009" s="2">
        <v>80</v>
      </c>
      <c r="G1009" s="2">
        <v>93451</v>
      </c>
      <c r="H1009" s="2">
        <v>8</v>
      </c>
      <c r="I1009" s="2" t="s">
        <v>81</v>
      </c>
      <c r="J1009" s="3">
        <v>0.134453781512605</v>
      </c>
      <c r="K1009" s="21">
        <v>1168.1375</v>
      </c>
      <c r="L1009" s="21">
        <v>11681.375</v>
      </c>
      <c r="M1009" s="21">
        <v>74.375</v>
      </c>
      <c r="N1009" s="2" t="s">
        <v>79</v>
      </c>
    </row>
    <row r="1010" s="2" customFormat="1" spans="1:14">
      <c r="A1010" s="20">
        <v>45856</v>
      </c>
      <c r="B1010" s="2" t="s">
        <v>90</v>
      </c>
      <c r="C1010" s="2" t="s">
        <v>91</v>
      </c>
      <c r="D1010" s="2">
        <v>2</v>
      </c>
      <c r="E1010" s="2">
        <v>536</v>
      </c>
      <c r="F1010" s="2">
        <v>75</v>
      </c>
      <c r="G1010" s="2">
        <v>85156</v>
      </c>
      <c r="H1010" s="2">
        <v>7</v>
      </c>
      <c r="I1010" s="2" t="s">
        <v>78</v>
      </c>
      <c r="J1010" s="3">
        <v>0.139925373134328</v>
      </c>
      <c r="K1010" s="21">
        <v>1135.41333333333</v>
      </c>
      <c r="L1010" s="21">
        <v>12165.1428571429</v>
      </c>
      <c r="M1010" s="21">
        <v>76.5714285714286</v>
      </c>
      <c r="N1010" s="2" t="s">
        <v>79</v>
      </c>
    </row>
    <row r="1011" s="2" customFormat="1" spans="1:14">
      <c r="A1011" s="20">
        <v>45857</v>
      </c>
      <c r="B1011" s="2" t="s">
        <v>90</v>
      </c>
      <c r="C1011" s="2" t="s">
        <v>91</v>
      </c>
      <c r="D1011" s="2">
        <v>2</v>
      </c>
      <c r="E1011" s="2">
        <v>702</v>
      </c>
      <c r="F1011" s="2">
        <v>102</v>
      </c>
      <c r="G1011" s="2">
        <v>147981</v>
      </c>
      <c r="H1011" s="2">
        <v>8</v>
      </c>
      <c r="I1011" s="2" t="s">
        <v>78</v>
      </c>
      <c r="J1011" s="3">
        <v>0.145299145299145</v>
      </c>
      <c r="K1011" s="21">
        <v>1450.79411764706</v>
      </c>
      <c r="L1011" s="21">
        <v>18497.625</v>
      </c>
      <c r="M1011" s="21">
        <v>87.75</v>
      </c>
      <c r="N1011" s="2" t="s">
        <v>80</v>
      </c>
    </row>
    <row r="1012" s="2" customFormat="1" spans="1:14">
      <c r="A1012" s="20">
        <v>45858</v>
      </c>
      <c r="B1012" s="2" t="s">
        <v>90</v>
      </c>
      <c r="C1012" s="2" t="s">
        <v>91</v>
      </c>
      <c r="D1012" s="2">
        <v>2</v>
      </c>
      <c r="E1012" s="2">
        <v>860</v>
      </c>
      <c r="F1012" s="2">
        <v>119</v>
      </c>
      <c r="G1012" s="2">
        <v>184021</v>
      </c>
      <c r="H1012" s="2">
        <v>4</v>
      </c>
      <c r="I1012" s="2" t="s">
        <v>78</v>
      </c>
      <c r="J1012" s="3">
        <v>0.138372093023256</v>
      </c>
      <c r="K1012" s="21">
        <v>1546.39495798319</v>
      </c>
      <c r="L1012" s="21">
        <v>46005.25</v>
      </c>
      <c r="M1012" s="21">
        <v>215</v>
      </c>
      <c r="N1012" s="2" t="s">
        <v>80</v>
      </c>
    </row>
    <row r="1013" s="2" customFormat="1" spans="1:14">
      <c r="A1013" s="20">
        <v>45859</v>
      </c>
      <c r="B1013" s="2" t="s">
        <v>90</v>
      </c>
      <c r="C1013" s="2" t="s">
        <v>91</v>
      </c>
      <c r="D1013" s="2">
        <v>2</v>
      </c>
      <c r="E1013" s="2">
        <v>559</v>
      </c>
      <c r="F1013" s="2">
        <v>66</v>
      </c>
      <c r="G1013" s="2">
        <v>81700</v>
      </c>
      <c r="H1013" s="2">
        <v>5</v>
      </c>
      <c r="I1013" s="2" t="s">
        <v>78</v>
      </c>
      <c r="J1013" s="3">
        <v>0.118067978533095</v>
      </c>
      <c r="K1013" s="21">
        <v>1237.87878787879</v>
      </c>
      <c r="L1013" s="21">
        <v>16340</v>
      </c>
      <c r="M1013" s="21">
        <v>111.8</v>
      </c>
      <c r="N1013" s="2" t="s">
        <v>79</v>
      </c>
    </row>
    <row r="1014" s="2" customFormat="1" spans="1:14">
      <c r="A1014" s="20">
        <v>45860</v>
      </c>
      <c r="B1014" s="2" t="s">
        <v>90</v>
      </c>
      <c r="C1014" s="2" t="s">
        <v>91</v>
      </c>
      <c r="D1014" s="2">
        <v>2</v>
      </c>
      <c r="E1014" s="2">
        <v>520</v>
      </c>
      <c r="F1014" s="2">
        <v>72</v>
      </c>
      <c r="G1014" s="2">
        <v>82661</v>
      </c>
      <c r="H1014" s="2">
        <v>7</v>
      </c>
      <c r="I1014" s="2" t="s">
        <v>78</v>
      </c>
      <c r="J1014" s="3">
        <v>0.138461538461538</v>
      </c>
      <c r="K1014" s="21">
        <v>1148.06944444444</v>
      </c>
      <c r="L1014" s="21">
        <v>11808.7142857143</v>
      </c>
      <c r="M1014" s="21">
        <v>74.2857142857143</v>
      </c>
      <c r="N1014" s="2" t="s">
        <v>79</v>
      </c>
    </row>
    <row r="1015" s="2" customFormat="1" spans="1:14">
      <c r="A1015" s="20">
        <v>45861</v>
      </c>
      <c r="B1015" s="2" t="s">
        <v>90</v>
      </c>
      <c r="C1015" s="2" t="s">
        <v>91</v>
      </c>
      <c r="D1015" s="2">
        <v>2</v>
      </c>
      <c r="E1015" s="2">
        <v>413</v>
      </c>
      <c r="F1015" s="2">
        <v>49</v>
      </c>
      <c r="G1015" s="2">
        <v>80829</v>
      </c>
      <c r="H1015" s="2">
        <v>6</v>
      </c>
      <c r="I1015" s="2" t="s">
        <v>78</v>
      </c>
      <c r="J1015" s="3">
        <v>0.11864406779661</v>
      </c>
      <c r="K1015" s="21">
        <v>1649.57142857143</v>
      </c>
      <c r="L1015" s="21">
        <v>13471.5</v>
      </c>
      <c r="M1015" s="21">
        <v>68.8333333333333</v>
      </c>
      <c r="N1015" s="2" t="s">
        <v>79</v>
      </c>
    </row>
    <row r="1016" s="2" customFormat="1" spans="1:14">
      <c r="A1016" s="20">
        <v>45862</v>
      </c>
      <c r="B1016" s="2" t="s">
        <v>90</v>
      </c>
      <c r="C1016" s="2" t="s">
        <v>91</v>
      </c>
      <c r="D1016" s="2">
        <v>2</v>
      </c>
      <c r="E1016" s="2">
        <v>477</v>
      </c>
      <c r="F1016" s="2">
        <v>67</v>
      </c>
      <c r="G1016" s="2">
        <v>108597</v>
      </c>
      <c r="H1016" s="2">
        <v>9</v>
      </c>
      <c r="I1016" s="2" t="s">
        <v>81</v>
      </c>
      <c r="J1016" s="3">
        <v>0.140461215932914</v>
      </c>
      <c r="K1016" s="21">
        <v>1620.85074626866</v>
      </c>
      <c r="L1016" s="21">
        <v>12066.3333333333</v>
      </c>
      <c r="M1016" s="21">
        <v>53</v>
      </c>
      <c r="N1016" s="2" t="s">
        <v>79</v>
      </c>
    </row>
    <row r="1017" s="2" customFormat="1" spans="1:14">
      <c r="A1017" s="20">
        <v>45863</v>
      </c>
      <c r="B1017" s="2" t="s">
        <v>90</v>
      </c>
      <c r="C1017" s="2" t="s">
        <v>91</v>
      </c>
      <c r="D1017" s="2">
        <v>2</v>
      </c>
      <c r="E1017" s="2">
        <v>548</v>
      </c>
      <c r="F1017" s="2">
        <v>75</v>
      </c>
      <c r="G1017" s="2">
        <v>84205</v>
      </c>
      <c r="H1017" s="2">
        <v>5</v>
      </c>
      <c r="I1017" s="2" t="s">
        <v>78</v>
      </c>
      <c r="J1017" s="3">
        <v>0.136861313868613</v>
      </c>
      <c r="K1017" s="21">
        <v>1122.73333333333</v>
      </c>
      <c r="L1017" s="21">
        <v>16841</v>
      </c>
      <c r="M1017" s="21">
        <v>109.6</v>
      </c>
      <c r="N1017" s="2" t="s">
        <v>79</v>
      </c>
    </row>
    <row r="1018" s="2" customFormat="1" spans="1:14">
      <c r="A1018" s="20">
        <v>45864</v>
      </c>
      <c r="B1018" s="2" t="s">
        <v>90</v>
      </c>
      <c r="C1018" s="2" t="s">
        <v>91</v>
      </c>
      <c r="D1018" s="2">
        <v>2</v>
      </c>
      <c r="E1018" s="2">
        <v>664</v>
      </c>
      <c r="F1018" s="2">
        <v>97</v>
      </c>
      <c r="G1018" s="2">
        <v>146812</v>
      </c>
      <c r="H1018" s="2">
        <v>8</v>
      </c>
      <c r="I1018" s="2" t="s">
        <v>78</v>
      </c>
      <c r="J1018" s="3">
        <v>0.146084337349398</v>
      </c>
      <c r="K1018" s="21">
        <v>1513.52577319588</v>
      </c>
      <c r="L1018" s="21">
        <v>18351.5</v>
      </c>
      <c r="M1018" s="21">
        <v>83</v>
      </c>
      <c r="N1018" s="2" t="s">
        <v>80</v>
      </c>
    </row>
    <row r="1019" s="2" customFormat="1" spans="1:14">
      <c r="A1019" s="20">
        <v>45865</v>
      </c>
      <c r="B1019" s="2" t="s">
        <v>90</v>
      </c>
      <c r="C1019" s="2" t="s">
        <v>91</v>
      </c>
      <c r="D1019" s="2">
        <v>2</v>
      </c>
      <c r="E1019" s="2">
        <v>862</v>
      </c>
      <c r="F1019" s="2">
        <v>128</v>
      </c>
      <c r="G1019" s="2">
        <v>160554</v>
      </c>
      <c r="H1019" s="2">
        <v>9</v>
      </c>
      <c r="I1019" s="2" t="s">
        <v>78</v>
      </c>
      <c r="J1019" s="3">
        <v>0.148491879350348</v>
      </c>
      <c r="K1019" s="21">
        <v>1254.328125</v>
      </c>
      <c r="L1019" s="21">
        <v>17839.3333333333</v>
      </c>
      <c r="M1019" s="21">
        <v>95.7777777777778</v>
      </c>
      <c r="N1019" s="2" t="s">
        <v>80</v>
      </c>
    </row>
    <row r="1020" s="2" customFormat="1" spans="1:14">
      <c r="A1020" s="20">
        <v>45866</v>
      </c>
      <c r="B1020" s="2" t="s">
        <v>90</v>
      </c>
      <c r="C1020" s="2" t="s">
        <v>91</v>
      </c>
      <c r="D1020" s="2">
        <v>2</v>
      </c>
      <c r="E1020" s="2">
        <v>506</v>
      </c>
      <c r="F1020" s="2">
        <v>69</v>
      </c>
      <c r="G1020" s="2">
        <v>116850</v>
      </c>
      <c r="H1020" s="2">
        <v>6</v>
      </c>
      <c r="I1020" s="2" t="s">
        <v>81</v>
      </c>
      <c r="J1020" s="3">
        <v>0.136363636363636</v>
      </c>
      <c r="K1020" s="21">
        <v>1693.47826086957</v>
      </c>
      <c r="L1020" s="21">
        <v>19475</v>
      </c>
      <c r="M1020" s="21">
        <v>84.3333333333333</v>
      </c>
      <c r="N1020" s="2" t="s">
        <v>79</v>
      </c>
    </row>
    <row r="1021" s="2" customFormat="1" spans="1:14">
      <c r="A1021" s="20">
        <v>45867</v>
      </c>
      <c r="B1021" s="2" t="s">
        <v>90</v>
      </c>
      <c r="C1021" s="2" t="s">
        <v>91</v>
      </c>
      <c r="D1021" s="2">
        <v>2</v>
      </c>
      <c r="E1021" s="2">
        <v>509</v>
      </c>
      <c r="F1021" s="2">
        <v>70</v>
      </c>
      <c r="G1021" s="2">
        <v>79451</v>
      </c>
      <c r="H1021" s="2">
        <v>8</v>
      </c>
      <c r="I1021" s="2" t="s">
        <v>78</v>
      </c>
      <c r="J1021" s="3">
        <v>0.137524557956778</v>
      </c>
      <c r="K1021" s="21">
        <v>1135.01428571429</v>
      </c>
      <c r="L1021" s="21">
        <v>9931.375</v>
      </c>
      <c r="M1021" s="21">
        <v>63.625</v>
      </c>
      <c r="N1021" s="2" t="s">
        <v>79</v>
      </c>
    </row>
    <row r="1022" s="2" customFormat="1" spans="1:14">
      <c r="A1022" s="20">
        <v>45868</v>
      </c>
      <c r="B1022" s="2" t="s">
        <v>90</v>
      </c>
      <c r="C1022" s="2" t="s">
        <v>91</v>
      </c>
      <c r="D1022" s="2">
        <v>2</v>
      </c>
      <c r="E1022" s="2">
        <v>514</v>
      </c>
      <c r="F1022" s="2">
        <v>63</v>
      </c>
      <c r="G1022" s="2">
        <v>69309</v>
      </c>
      <c r="H1022" s="2">
        <v>7</v>
      </c>
      <c r="I1022" s="2" t="s">
        <v>78</v>
      </c>
      <c r="J1022" s="3">
        <v>0.122568093385214</v>
      </c>
      <c r="K1022" s="21">
        <v>1100.14285714286</v>
      </c>
      <c r="L1022" s="21">
        <v>9901.28571428571</v>
      </c>
      <c r="M1022" s="21">
        <v>73.4285714285714</v>
      </c>
      <c r="N1022" s="2" t="s">
        <v>79</v>
      </c>
    </row>
    <row r="1023" s="2" customFormat="1" spans="1:14">
      <c r="A1023" s="20">
        <v>45869</v>
      </c>
      <c r="B1023" s="2" t="s">
        <v>90</v>
      </c>
      <c r="C1023" s="2" t="s">
        <v>91</v>
      </c>
      <c r="D1023" s="2">
        <v>2</v>
      </c>
      <c r="E1023" s="2">
        <v>516</v>
      </c>
      <c r="F1023" s="2">
        <v>68</v>
      </c>
      <c r="G1023" s="2">
        <v>92162</v>
      </c>
      <c r="H1023" s="2">
        <v>4</v>
      </c>
      <c r="I1023" s="2" t="s">
        <v>78</v>
      </c>
      <c r="J1023" s="3">
        <v>0.131782945736434</v>
      </c>
      <c r="K1023" s="21">
        <v>1355.32352941177</v>
      </c>
      <c r="L1023" s="21">
        <v>23040.5</v>
      </c>
      <c r="M1023" s="21">
        <v>129</v>
      </c>
      <c r="N1023" s="2" t="s">
        <v>79</v>
      </c>
    </row>
    <row r="1024" s="2" customFormat="1" spans="1:14">
      <c r="A1024" s="20">
        <v>45870</v>
      </c>
      <c r="B1024" s="2" t="s">
        <v>90</v>
      </c>
      <c r="C1024" s="2" t="s">
        <v>91</v>
      </c>
      <c r="D1024" s="2">
        <v>2</v>
      </c>
      <c r="E1024" s="2">
        <v>540</v>
      </c>
      <c r="F1024" s="2">
        <v>74</v>
      </c>
      <c r="G1024" s="2">
        <v>94197</v>
      </c>
      <c r="H1024" s="2">
        <v>4</v>
      </c>
      <c r="I1024" s="2" t="s">
        <v>78</v>
      </c>
      <c r="J1024" s="3">
        <v>0.137037037037037</v>
      </c>
      <c r="K1024" s="21">
        <v>1272.93243243243</v>
      </c>
      <c r="L1024" s="21">
        <v>23549.25</v>
      </c>
      <c r="M1024" s="21">
        <v>135</v>
      </c>
      <c r="N1024" s="2" t="s">
        <v>79</v>
      </c>
    </row>
    <row r="1025" s="2" customFormat="1" spans="1:14">
      <c r="A1025" s="20">
        <v>45871</v>
      </c>
      <c r="B1025" s="2" t="s">
        <v>90</v>
      </c>
      <c r="C1025" s="2" t="s">
        <v>91</v>
      </c>
      <c r="D1025" s="2">
        <v>2</v>
      </c>
      <c r="E1025" s="2">
        <v>602</v>
      </c>
      <c r="F1025" s="2">
        <v>76</v>
      </c>
      <c r="G1025" s="2">
        <v>112164</v>
      </c>
      <c r="H1025" s="2">
        <v>8</v>
      </c>
      <c r="I1025" s="2" t="s">
        <v>78</v>
      </c>
      <c r="J1025" s="3">
        <v>0.12624584717608</v>
      </c>
      <c r="K1025" s="21">
        <v>1475.84210526316</v>
      </c>
      <c r="L1025" s="21">
        <v>14020.5</v>
      </c>
      <c r="M1025" s="21">
        <v>75.25</v>
      </c>
      <c r="N1025" s="2" t="s">
        <v>80</v>
      </c>
    </row>
    <row r="1026" s="2" customFormat="1" spans="1:14">
      <c r="A1026" s="20">
        <v>45872</v>
      </c>
      <c r="B1026" s="2" t="s">
        <v>90</v>
      </c>
      <c r="C1026" s="2" t="s">
        <v>91</v>
      </c>
      <c r="D1026" s="2">
        <v>2</v>
      </c>
      <c r="E1026" s="2">
        <v>676</v>
      </c>
      <c r="F1026" s="2">
        <v>87</v>
      </c>
      <c r="G1026" s="2">
        <v>143259</v>
      </c>
      <c r="H1026" s="2">
        <v>5</v>
      </c>
      <c r="I1026" s="2" t="s">
        <v>78</v>
      </c>
      <c r="J1026" s="3">
        <v>0.128698224852071</v>
      </c>
      <c r="K1026" s="21">
        <v>1646.65517241379</v>
      </c>
      <c r="L1026" s="21">
        <v>28651.8</v>
      </c>
      <c r="M1026" s="21">
        <v>135.2</v>
      </c>
      <c r="N1026" s="2" t="s">
        <v>80</v>
      </c>
    </row>
    <row r="1027" s="2" customFormat="1" spans="1:14">
      <c r="A1027" s="20">
        <v>45873</v>
      </c>
      <c r="B1027" s="2" t="s">
        <v>90</v>
      </c>
      <c r="C1027" s="2" t="s">
        <v>91</v>
      </c>
      <c r="D1027" s="2">
        <v>2</v>
      </c>
      <c r="E1027" s="2">
        <v>511</v>
      </c>
      <c r="F1027" s="2">
        <v>64</v>
      </c>
      <c r="G1027" s="2">
        <v>73676</v>
      </c>
      <c r="H1027" s="2">
        <v>7</v>
      </c>
      <c r="I1027" s="2" t="s">
        <v>78</v>
      </c>
      <c r="J1027" s="3">
        <v>0.125244618395303</v>
      </c>
      <c r="K1027" s="21">
        <v>1151.1875</v>
      </c>
      <c r="L1027" s="21">
        <v>10525.1428571429</v>
      </c>
      <c r="M1027" s="21">
        <v>73</v>
      </c>
      <c r="N1027" s="2" t="s">
        <v>79</v>
      </c>
    </row>
    <row r="1028" s="2" customFormat="1" spans="1:14">
      <c r="A1028" s="20">
        <v>45874</v>
      </c>
      <c r="B1028" s="2" t="s">
        <v>90</v>
      </c>
      <c r="C1028" s="2" t="s">
        <v>91</v>
      </c>
      <c r="D1028" s="2">
        <v>2</v>
      </c>
      <c r="E1028" s="2">
        <v>516</v>
      </c>
      <c r="F1028" s="2">
        <v>78</v>
      </c>
      <c r="G1028" s="2">
        <v>93040</v>
      </c>
      <c r="H1028" s="2">
        <v>9</v>
      </c>
      <c r="I1028" s="2" t="s">
        <v>78</v>
      </c>
      <c r="J1028" s="3">
        <v>0.151162790697674</v>
      </c>
      <c r="K1028" s="21">
        <v>1192.82051282051</v>
      </c>
      <c r="L1028" s="21">
        <v>10337.7777777778</v>
      </c>
      <c r="M1028" s="21">
        <v>57.3333333333333</v>
      </c>
      <c r="N1028" s="2" t="s">
        <v>79</v>
      </c>
    </row>
    <row r="1029" s="2" customFormat="1" spans="1:14">
      <c r="A1029" s="20">
        <v>45875</v>
      </c>
      <c r="B1029" s="2" t="s">
        <v>90</v>
      </c>
      <c r="C1029" s="2" t="s">
        <v>91</v>
      </c>
      <c r="D1029" s="2">
        <v>2</v>
      </c>
      <c r="E1029" s="2">
        <v>538</v>
      </c>
      <c r="F1029" s="2">
        <v>63</v>
      </c>
      <c r="G1029" s="2">
        <v>85880</v>
      </c>
      <c r="H1029" s="2">
        <v>4</v>
      </c>
      <c r="I1029" s="2" t="s">
        <v>78</v>
      </c>
      <c r="J1029" s="3">
        <v>0.117100371747212</v>
      </c>
      <c r="K1029" s="21">
        <v>1363.1746031746</v>
      </c>
      <c r="L1029" s="21">
        <v>21470</v>
      </c>
      <c r="M1029" s="21">
        <v>134.5</v>
      </c>
      <c r="N1029" s="2" t="s">
        <v>79</v>
      </c>
    </row>
    <row r="1030" s="2" customFormat="1" spans="1:14">
      <c r="A1030" s="20">
        <v>45876</v>
      </c>
      <c r="B1030" s="2" t="s">
        <v>90</v>
      </c>
      <c r="C1030" s="2" t="s">
        <v>91</v>
      </c>
      <c r="D1030" s="2">
        <v>2</v>
      </c>
      <c r="E1030" s="2">
        <v>434</v>
      </c>
      <c r="F1030" s="2">
        <v>50</v>
      </c>
      <c r="G1030" s="2">
        <v>84642</v>
      </c>
      <c r="H1030" s="2">
        <v>5</v>
      </c>
      <c r="I1030" s="2" t="s">
        <v>78</v>
      </c>
      <c r="J1030" s="3">
        <v>0.115207373271889</v>
      </c>
      <c r="K1030" s="21">
        <v>1692.84</v>
      </c>
      <c r="L1030" s="21">
        <v>16928.4</v>
      </c>
      <c r="M1030" s="21">
        <v>86.8</v>
      </c>
      <c r="N1030" s="2" t="s">
        <v>79</v>
      </c>
    </row>
    <row r="1031" s="2" customFormat="1" spans="1:14">
      <c r="A1031" s="20">
        <v>45877</v>
      </c>
      <c r="B1031" s="2" t="s">
        <v>90</v>
      </c>
      <c r="C1031" s="2" t="s">
        <v>91</v>
      </c>
      <c r="D1031" s="2">
        <v>2</v>
      </c>
      <c r="E1031" s="2">
        <v>441</v>
      </c>
      <c r="F1031" s="2">
        <v>58</v>
      </c>
      <c r="G1031" s="2">
        <v>73155</v>
      </c>
      <c r="H1031" s="2">
        <v>7</v>
      </c>
      <c r="I1031" s="2" t="s">
        <v>78</v>
      </c>
      <c r="J1031" s="3">
        <v>0.131519274376417</v>
      </c>
      <c r="K1031" s="21">
        <v>1261.29310344828</v>
      </c>
      <c r="L1031" s="21">
        <v>10450.7142857143</v>
      </c>
      <c r="M1031" s="21">
        <v>63</v>
      </c>
      <c r="N1031" s="2" t="s">
        <v>79</v>
      </c>
    </row>
    <row r="1032" s="2" customFormat="1" spans="1:14">
      <c r="A1032" s="20">
        <v>45878</v>
      </c>
      <c r="B1032" s="2" t="s">
        <v>90</v>
      </c>
      <c r="C1032" s="2" t="s">
        <v>91</v>
      </c>
      <c r="D1032" s="2">
        <v>2</v>
      </c>
      <c r="E1032" s="2">
        <v>734</v>
      </c>
      <c r="F1032" s="2">
        <v>94</v>
      </c>
      <c r="G1032" s="2">
        <v>128694</v>
      </c>
      <c r="H1032" s="2">
        <v>4</v>
      </c>
      <c r="I1032" s="2" t="s">
        <v>78</v>
      </c>
      <c r="J1032" s="3">
        <v>0.128065395095368</v>
      </c>
      <c r="K1032" s="21">
        <v>1369.08510638298</v>
      </c>
      <c r="L1032" s="21">
        <v>32173.5</v>
      </c>
      <c r="M1032" s="21">
        <v>183.5</v>
      </c>
      <c r="N1032" s="2" t="s">
        <v>80</v>
      </c>
    </row>
    <row r="1033" s="2" customFormat="1" spans="1:14">
      <c r="A1033" s="20">
        <v>45879</v>
      </c>
      <c r="B1033" s="2" t="s">
        <v>90</v>
      </c>
      <c r="C1033" s="2" t="s">
        <v>91</v>
      </c>
      <c r="D1033" s="2">
        <v>2</v>
      </c>
      <c r="E1033" s="2">
        <v>708</v>
      </c>
      <c r="F1033" s="2">
        <v>88</v>
      </c>
      <c r="G1033" s="2">
        <v>124047</v>
      </c>
      <c r="H1033" s="2">
        <v>5</v>
      </c>
      <c r="I1033" s="2" t="s">
        <v>78</v>
      </c>
      <c r="J1033" s="3">
        <v>0.124293785310734</v>
      </c>
      <c r="K1033" s="21">
        <v>1409.625</v>
      </c>
      <c r="L1033" s="21">
        <v>24809.4</v>
      </c>
      <c r="M1033" s="21">
        <v>141.6</v>
      </c>
      <c r="N1033" s="2" t="s">
        <v>80</v>
      </c>
    </row>
    <row r="1034" s="2" customFormat="1" spans="1:14">
      <c r="A1034" s="20">
        <v>45880</v>
      </c>
      <c r="B1034" s="2" t="s">
        <v>90</v>
      </c>
      <c r="C1034" s="2" t="s">
        <v>91</v>
      </c>
      <c r="D1034" s="2">
        <v>2</v>
      </c>
      <c r="E1034" s="2">
        <v>512</v>
      </c>
      <c r="F1034" s="2">
        <v>70</v>
      </c>
      <c r="G1034" s="2">
        <v>77055</v>
      </c>
      <c r="H1034" s="2">
        <v>7</v>
      </c>
      <c r="I1034" s="2" t="s">
        <v>78</v>
      </c>
      <c r="J1034" s="3">
        <v>0.13671875</v>
      </c>
      <c r="K1034" s="21">
        <v>1100.78571428571</v>
      </c>
      <c r="L1034" s="21">
        <v>11007.8571428571</v>
      </c>
      <c r="M1034" s="21">
        <v>73.1428571428571</v>
      </c>
      <c r="N1034" s="2" t="s">
        <v>79</v>
      </c>
    </row>
    <row r="1035" s="2" customFormat="1" spans="1:14">
      <c r="A1035" s="20">
        <v>45881</v>
      </c>
      <c r="B1035" s="2" t="s">
        <v>90</v>
      </c>
      <c r="C1035" s="2" t="s">
        <v>91</v>
      </c>
      <c r="D1035" s="2">
        <v>2</v>
      </c>
      <c r="E1035" s="2">
        <v>416</v>
      </c>
      <c r="F1035" s="2">
        <v>52</v>
      </c>
      <c r="G1035" s="2">
        <v>69030</v>
      </c>
      <c r="H1035" s="2">
        <v>4</v>
      </c>
      <c r="I1035" s="2" t="s">
        <v>78</v>
      </c>
      <c r="J1035" s="3">
        <v>0.125</v>
      </c>
      <c r="K1035" s="21">
        <v>1327.5</v>
      </c>
      <c r="L1035" s="21">
        <v>17257.5</v>
      </c>
      <c r="M1035" s="21">
        <v>104</v>
      </c>
      <c r="N1035" s="2" t="s">
        <v>79</v>
      </c>
    </row>
    <row r="1036" s="2" customFormat="1" spans="1:14">
      <c r="A1036" s="20">
        <v>45882</v>
      </c>
      <c r="B1036" s="2" t="s">
        <v>90</v>
      </c>
      <c r="C1036" s="2" t="s">
        <v>91</v>
      </c>
      <c r="D1036" s="2">
        <v>2</v>
      </c>
      <c r="E1036" s="2">
        <v>512</v>
      </c>
      <c r="F1036" s="2">
        <v>68</v>
      </c>
      <c r="G1036" s="2">
        <v>78969</v>
      </c>
      <c r="H1036" s="2">
        <v>5</v>
      </c>
      <c r="I1036" s="2" t="s">
        <v>78</v>
      </c>
      <c r="J1036" s="3">
        <v>0.1328125</v>
      </c>
      <c r="K1036" s="21">
        <v>1161.30882352941</v>
      </c>
      <c r="L1036" s="21">
        <v>15793.8</v>
      </c>
      <c r="M1036" s="21">
        <v>102.4</v>
      </c>
      <c r="N1036" s="2" t="s">
        <v>79</v>
      </c>
    </row>
    <row r="1037" s="2" customFormat="1" spans="1:14">
      <c r="A1037" s="20">
        <v>45883</v>
      </c>
      <c r="B1037" s="2" t="s">
        <v>90</v>
      </c>
      <c r="C1037" s="2" t="s">
        <v>91</v>
      </c>
      <c r="D1037" s="2">
        <v>2</v>
      </c>
      <c r="E1037" s="2">
        <v>532</v>
      </c>
      <c r="F1037" s="2">
        <v>73</v>
      </c>
      <c r="G1037" s="2">
        <v>88816</v>
      </c>
      <c r="H1037" s="2">
        <v>7</v>
      </c>
      <c r="I1037" s="2" t="s">
        <v>78</v>
      </c>
      <c r="J1037" s="3">
        <v>0.137218045112782</v>
      </c>
      <c r="K1037" s="21">
        <v>1216.65753424658</v>
      </c>
      <c r="L1037" s="21">
        <v>12688</v>
      </c>
      <c r="M1037" s="21">
        <v>76</v>
      </c>
      <c r="N1037" s="2" t="s">
        <v>79</v>
      </c>
    </row>
    <row r="1038" s="2" customFormat="1" spans="1:14">
      <c r="A1038" s="20">
        <v>45884</v>
      </c>
      <c r="B1038" s="2" t="s">
        <v>90</v>
      </c>
      <c r="C1038" s="2" t="s">
        <v>91</v>
      </c>
      <c r="D1038" s="2">
        <v>2</v>
      </c>
      <c r="E1038" s="2">
        <v>429</v>
      </c>
      <c r="F1038" s="2">
        <v>62</v>
      </c>
      <c r="G1038" s="2">
        <v>91297</v>
      </c>
      <c r="H1038" s="2">
        <v>7</v>
      </c>
      <c r="I1038" s="2" t="s">
        <v>78</v>
      </c>
      <c r="J1038" s="3">
        <v>0.144522144522145</v>
      </c>
      <c r="K1038" s="21">
        <v>1472.53225806452</v>
      </c>
      <c r="L1038" s="21">
        <v>13042.4285714286</v>
      </c>
      <c r="M1038" s="21">
        <v>61.2857142857143</v>
      </c>
      <c r="N1038" s="2" t="s">
        <v>79</v>
      </c>
    </row>
    <row r="1039" s="2" customFormat="1" spans="1:14">
      <c r="A1039" s="20">
        <v>45885</v>
      </c>
      <c r="B1039" s="2" t="s">
        <v>90</v>
      </c>
      <c r="C1039" s="2" t="s">
        <v>91</v>
      </c>
      <c r="D1039" s="2">
        <v>2</v>
      </c>
      <c r="E1039" s="2">
        <v>687</v>
      </c>
      <c r="F1039" s="2">
        <v>92</v>
      </c>
      <c r="G1039" s="2">
        <v>149620</v>
      </c>
      <c r="H1039" s="2">
        <v>4</v>
      </c>
      <c r="I1039" s="2" t="s">
        <v>81</v>
      </c>
      <c r="J1039" s="3">
        <v>0.13391557496361</v>
      </c>
      <c r="K1039" s="21">
        <v>1626.30434782609</v>
      </c>
      <c r="L1039" s="21">
        <v>37405</v>
      </c>
      <c r="M1039" s="21">
        <v>171.75</v>
      </c>
      <c r="N1039" s="2" t="s">
        <v>80</v>
      </c>
    </row>
    <row r="1040" s="2" customFormat="1" spans="1:14">
      <c r="A1040" s="20">
        <v>45886</v>
      </c>
      <c r="B1040" s="2" t="s">
        <v>90</v>
      </c>
      <c r="C1040" s="2" t="s">
        <v>91</v>
      </c>
      <c r="D1040" s="2">
        <v>2</v>
      </c>
      <c r="E1040" s="2">
        <v>880</v>
      </c>
      <c r="F1040" s="2">
        <v>115</v>
      </c>
      <c r="G1040" s="2">
        <v>189871</v>
      </c>
      <c r="H1040" s="2">
        <v>6</v>
      </c>
      <c r="I1040" s="2" t="s">
        <v>78</v>
      </c>
      <c r="J1040" s="3">
        <v>0.130681818181818</v>
      </c>
      <c r="K1040" s="21">
        <v>1651.05217391304</v>
      </c>
      <c r="L1040" s="21">
        <v>31645.1666666667</v>
      </c>
      <c r="M1040" s="21">
        <v>146.666666666667</v>
      </c>
      <c r="N1040" s="2" t="s">
        <v>80</v>
      </c>
    </row>
    <row r="1041" s="2" customFormat="1" spans="1:14">
      <c r="A1041" s="20">
        <v>45887</v>
      </c>
      <c r="B1041" s="2" t="s">
        <v>90</v>
      </c>
      <c r="C1041" s="2" t="s">
        <v>91</v>
      </c>
      <c r="D1041" s="2">
        <v>2</v>
      </c>
      <c r="E1041" s="2">
        <v>587</v>
      </c>
      <c r="F1041" s="2">
        <v>76</v>
      </c>
      <c r="G1041" s="2">
        <v>127981</v>
      </c>
      <c r="H1041" s="2">
        <v>8</v>
      </c>
      <c r="I1041" s="2" t="s">
        <v>81</v>
      </c>
      <c r="J1041" s="3">
        <v>0.129471890971039</v>
      </c>
      <c r="K1041" s="21">
        <v>1683.96052631579</v>
      </c>
      <c r="L1041" s="21">
        <v>15997.625</v>
      </c>
      <c r="M1041" s="21">
        <v>73.375</v>
      </c>
      <c r="N1041" s="2" t="s">
        <v>79</v>
      </c>
    </row>
    <row r="1042" s="2" customFormat="1" spans="1:14">
      <c r="A1042" s="20">
        <v>45888</v>
      </c>
      <c r="B1042" s="2" t="s">
        <v>90</v>
      </c>
      <c r="C1042" s="2" t="s">
        <v>91</v>
      </c>
      <c r="D1042" s="2">
        <v>2</v>
      </c>
      <c r="E1042" s="2">
        <v>500</v>
      </c>
      <c r="F1042" s="2">
        <v>62</v>
      </c>
      <c r="G1042" s="2">
        <v>93808</v>
      </c>
      <c r="H1042" s="2">
        <v>7</v>
      </c>
      <c r="I1042" s="2" t="s">
        <v>78</v>
      </c>
      <c r="J1042" s="3">
        <v>0.124</v>
      </c>
      <c r="K1042" s="21">
        <v>1513.03225806452</v>
      </c>
      <c r="L1042" s="21">
        <v>13401.1428571429</v>
      </c>
      <c r="M1042" s="21">
        <v>71.4285714285714</v>
      </c>
      <c r="N1042" s="2" t="s">
        <v>79</v>
      </c>
    </row>
    <row r="1043" s="2" customFormat="1" spans="1:14">
      <c r="A1043" s="20">
        <v>45889</v>
      </c>
      <c r="B1043" s="2" t="s">
        <v>90</v>
      </c>
      <c r="C1043" s="2" t="s">
        <v>91</v>
      </c>
      <c r="D1043" s="2">
        <v>2</v>
      </c>
      <c r="E1043" s="2">
        <v>408</v>
      </c>
      <c r="F1043" s="2">
        <v>57</v>
      </c>
      <c r="G1043" s="2">
        <v>71149</v>
      </c>
      <c r="H1043" s="2">
        <v>9</v>
      </c>
      <c r="I1043" s="2" t="s">
        <v>78</v>
      </c>
      <c r="J1043" s="3">
        <v>0.139705882352941</v>
      </c>
      <c r="K1043" s="21">
        <v>1248.22807017544</v>
      </c>
      <c r="L1043" s="21">
        <v>7905.44444444444</v>
      </c>
      <c r="M1043" s="21">
        <v>45.3333333333333</v>
      </c>
      <c r="N1043" s="2" t="s">
        <v>79</v>
      </c>
    </row>
    <row r="1044" s="2" customFormat="1" spans="1:14">
      <c r="A1044" s="20">
        <v>45890</v>
      </c>
      <c r="B1044" s="2" t="s">
        <v>90</v>
      </c>
      <c r="C1044" s="2" t="s">
        <v>91</v>
      </c>
      <c r="D1044" s="2">
        <v>2</v>
      </c>
      <c r="E1044" s="2">
        <v>527</v>
      </c>
      <c r="F1044" s="2">
        <v>75</v>
      </c>
      <c r="G1044" s="2">
        <v>109096</v>
      </c>
      <c r="H1044" s="2">
        <v>7</v>
      </c>
      <c r="I1044" s="2" t="s">
        <v>78</v>
      </c>
      <c r="J1044" s="3">
        <v>0.142314990512334</v>
      </c>
      <c r="K1044" s="21">
        <v>1454.61333333333</v>
      </c>
      <c r="L1044" s="21">
        <v>15585.1428571429</v>
      </c>
      <c r="M1044" s="21">
        <v>75.2857142857143</v>
      </c>
      <c r="N1044" s="2" t="s">
        <v>79</v>
      </c>
    </row>
    <row r="1045" s="2" customFormat="1" spans="1:14">
      <c r="A1045" s="20">
        <v>45891</v>
      </c>
      <c r="B1045" s="2" t="s">
        <v>90</v>
      </c>
      <c r="C1045" s="2" t="s">
        <v>91</v>
      </c>
      <c r="D1045" s="2">
        <v>2</v>
      </c>
      <c r="E1045" s="2">
        <v>470</v>
      </c>
      <c r="F1045" s="2">
        <v>69</v>
      </c>
      <c r="G1045" s="2">
        <v>92298</v>
      </c>
      <c r="H1045" s="2">
        <v>9</v>
      </c>
      <c r="I1045" s="2" t="s">
        <v>78</v>
      </c>
      <c r="J1045" s="3">
        <v>0.146808510638298</v>
      </c>
      <c r="K1045" s="21">
        <v>1337.65217391304</v>
      </c>
      <c r="L1045" s="21">
        <v>10255.3333333333</v>
      </c>
      <c r="M1045" s="21">
        <v>52.2222222222222</v>
      </c>
      <c r="N1045" s="2" t="s">
        <v>79</v>
      </c>
    </row>
    <row r="1046" s="2" customFormat="1" spans="1:14">
      <c r="A1046" s="20">
        <v>45892</v>
      </c>
      <c r="B1046" s="2" t="s">
        <v>90</v>
      </c>
      <c r="C1046" s="2" t="s">
        <v>91</v>
      </c>
      <c r="D1046" s="2">
        <v>2</v>
      </c>
      <c r="E1046" s="2">
        <v>617</v>
      </c>
      <c r="F1046" s="2">
        <v>74</v>
      </c>
      <c r="G1046" s="2">
        <v>118976</v>
      </c>
      <c r="H1046" s="2">
        <v>6</v>
      </c>
      <c r="I1046" s="2" t="s">
        <v>78</v>
      </c>
      <c r="J1046" s="3">
        <v>0.119935170178282</v>
      </c>
      <c r="K1046" s="21">
        <v>1607.78378378378</v>
      </c>
      <c r="L1046" s="21">
        <v>19829.3333333333</v>
      </c>
      <c r="M1046" s="21">
        <v>102.833333333333</v>
      </c>
      <c r="N1046" s="2" t="s">
        <v>80</v>
      </c>
    </row>
    <row r="1047" s="2" customFormat="1" spans="1:14">
      <c r="A1047" s="20">
        <v>45893</v>
      </c>
      <c r="B1047" s="2" t="s">
        <v>90</v>
      </c>
      <c r="C1047" s="2" t="s">
        <v>91</v>
      </c>
      <c r="D1047" s="2">
        <v>2</v>
      </c>
      <c r="E1047" s="2">
        <v>612</v>
      </c>
      <c r="F1047" s="2">
        <v>74</v>
      </c>
      <c r="G1047" s="2">
        <v>115892</v>
      </c>
      <c r="H1047" s="2">
        <v>4</v>
      </c>
      <c r="I1047" s="2" t="s">
        <v>78</v>
      </c>
      <c r="J1047" s="3">
        <v>0.120915032679739</v>
      </c>
      <c r="K1047" s="21">
        <v>1566.10810810811</v>
      </c>
      <c r="L1047" s="21">
        <v>28973</v>
      </c>
      <c r="M1047" s="21">
        <v>153</v>
      </c>
      <c r="N1047" s="2" t="s">
        <v>80</v>
      </c>
    </row>
    <row r="1048" s="2" customFormat="1" spans="1:14">
      <c r="A1048" s="20">
        <v>45894</v>
      </c>
      <c r="B1048" s="2" t="s">
        <v>90</v>
      </c>
      <c r="C1048" s="2" t="s">
        <v>91</v>
      </c>
      <c r="D1048" s="2">
        <v>2</v>
      </c>
      <c r="E1048" s="2">
        <v>468</v>
      </c>
      <c r="F1048" s="2">
        <v>68</v>
      </c>
      <c r="G1048" s="2">
        <v>81303</v>
      </c>
      <c r="H1048" s="2">
        <v>7</v>
      </c>
      <c r="I1048" s="2" t="s">
        <v>78</v>
      </c>
      <c r="J1048" s="3">
        <v>0.145299145299145</v>
      </c>
      <c r="K1048" s="21">
        <v>1195.63235294118</v>
      </c>
      <c r="L1048" s="21">
        <v>11614.7142857143</v>
      </c>
      <c r="M1048" s="21">
        <v>66.8571428571429</v>
      </c>
      <c r="N1048" s="2" t="s">
        <v>79</v>
      </c>
    </row>
    <row r="1049" s="2" customFormat="1" spans="1:14">
      <c r="A1049" s="20">
        <v>45895</v>
      </c>
      <c r="B1049" s="2" t="s">
        <v>90</v>
      </c>
      <c r="C1049" s="2" t="s">
        <v>91</v>
      </c>
      <c r="D1049" s="2">
        <v>2</v>
      </c>
      <c r="E1049" s="2">
        <v>498</v>
      </c>
      <c r="F1049" s="2">
        <v>71</v>
      </c>
      <c r="G1049" s="2">
        <v>92878</v>
      </c>
      <c r="H1049" s="2">
        <v>6</v>
      </c>
      <c r="I1049" s="2" t="s">
        <v>78</v>
      </c>
      <c r="J1049" s="3">
        <v>0.142570281124498</v>
      </c>
      <c r="K1049" s="21">
        <v>1308.14084507042</v>
      </c>
      <c r="L1049" s="21">
        <v>15479.6666666667</v>
      </c>
      <c r="M1049" s="21">
        <v>83</v>
      </c>
      <c r="N1049" s="2" t="s">
        <v>79</v>
      </c>
    </row>
    <row r="1050" s="2" customFormat="1" spans="1:14">
      <c r="A1050" s="20">
        <v>45896</v>
      </c>
      <c r="B1050" s="2" t="s">
        <v>90</v>
      </c>
      <c r="C1050" s="2" t="s">
        <v>91</v>
      </c>
      <c r="D1050" s="2">
        <v>2</v>
      </c>
      <c r="E1050" s="2">
        <v>383</v>
      </c>
      <c r="F1050" s="2">
        <v>46</v>
      </c>
      <c r="G1050" s="2">
        <v>57095</v>
      </c>
      <c r="H1050" s="2">
        <v>5</v>
      </c>
      <c r="I1050" s="2" t="s">
        <v>78</v>
      </c>
      <c r="J1050" s="3">
        <v>0.120104438642298</v>
      </c>
      <c r="K1050" s="21">
        <v>1241.19565217391</v>
      </c>
      <c r="L1050" s="21">
        <v>11419</v>
      </c>
      <c r="M1050" s="21">
        <v>76.6</v>
      </c>
      <c r="N1050" s="2" t="s">
        <v>79</v>
      </c>
    </row>
    <row r="1051" s="2" customFormat="1" spans="1:14">
      <c r="A1051" s="20">
        <v>45897</v>
      </c>
      <c r="B1051" s="2" t="s">
        <v>90</v>
      </c>
      <c r="C1051" s="2" t="s">
        <v>91</v>
      </c>
      <c r="D1051" s="2">
        <v>2</v>
      </c>
      <c r="E1051" s="2">
        <v>428</v>
      </c>
      <c r="F1051" s="2">
        <v>52</v>
      </c>
      <c r="G1051" s="2">
        <v>72336</v>
      </c>
      <c r="H1051" s="2">
        <v>8</v>
      </c>
      <c r="I1051" s="2" t="s">
        <v>78</v>
      </c>
      <c r="J1051" s="3">
        <v>0.121495327102804</v>
      </c>
      <c r="K1051" s="21">
        <v>1391.07692307692</v>
      </c>
      <c r="L1051" s="21">
        <v>9042</v>
      </c>
      <c r="M1051" s="21">
        <v>53.5</v>
      </c>
      <c r="N1051" s="2" t="s">
        <v>79</v>
      </c>
    </row>
    <row r="1052" s="2" customFormat="1" spans="1:14">
      <c r="A1052" s="20">
        <v>45898</v>
      </c>
      <c r="B1052" s="2" t="s">
        <v>90</v>
      </c>
      <c r="C1052" s="2" t="s">
        <v>91</v>
      </c>
      <c r="D1052" s="2">
        <v>2</v>
      </c>
      <c r="E1052" s="2">
        <v>477</v>
      </c>
      <c r="F1052" s="2">
        <v>59</v>
      </c>
      <c r="G1052" s="2">
        <v>87505</v>
      </c>
      <c r="H1052" s="2">
        <v>4</v>
      </c>
      <c r="I1052" s="2" t="s">
        <v>78</v>
      </c>
      <c r="J1052" s="3">
        <v>0.123689727463312</v>
      </c>
      <c r="K1052" s="21">
        <v>1483.13559322034</v>
      </c>
      <c r="L1052" s="21">
        <v>21876.25</v>
      </c>
      <c r="M1052" s="21">
        <v>119.25</v>
      </c>
      <c r="N1052" s="2" t="s">
        <v>79</v>
      </c>
    </row>
    <row r="1053" s="2" customFormat="1" spans="1:14">
      <c r="A1053" s="20">
        <v>45899</v>
      </c>
      <c r="B1053" s="2" t="s">
        <v>90</v>
      </c>
      <c r="C1053" s="2" t="s">
        <v>91</v>
      </c>
      <c r="D1053" s="2">
        <v>2</v>
      </c>
      <c r="E1053" s="2">
        <v>693</v>
      </c>
      <c r="F1053" s="2">
        <v>83</v>
      </c>
      <c r="G1053" s="2">
        <v>102815</v>
      </c>
      <c r="H1053" s="2">
        <v>7</v>
      </c>
      <c r="I1053" s="2" t="s">
        <v>78</v>
      </c>
      <c r="J1053" s="3">
        <v>0.11976911976912</v>
      </c>
      <c r="K1053" s="21">
        <v>1238.73493975904</v>
      </c>
      <c r="L1053" s="21">
        <v>14687.8571428571</v>
      </c>
      <c r="M1053" s="21">
        <v>99</v>
      </c>
      <c r="N1053" s="2" t="s">
        <v>80</v>
      </c>
    </row>
    <row r="1054" s="2" customFormat="1" spans="1:14">
      <c r="A1054" s="20">
        <v>45900</v>
      </c>
      <c r="B1054" s="2" t="s">
        <v>90</v>
      </c>
      <c r="C1054" s="2" t="s">
        <v>91</v>
      </c>
      <c r="D1054" s="2">
        <v>2</v>
      </c>
      <c r="E1054" s="2">
        <v>716</v>
      </c>
      <c r="F1054" s="2">
        <v>96</v>
      </c>
      <c r="G1054" s="2">
        <v>114376</v>
      </c>
      <c r="H1054" s="2">
        <v>5</v>
      </c>
      <c r="I1054" s="2" t="s">
        <v>78</v>
      </c>
      <c r="J1054" s="3">
        <v>0.134078212290503</v>
      </c>
      <c r="K1054" s="21">
        <v>1191.41666666667</v>
      </c>
      <c r="L1054" s="21">
        <v>22875.2</v>
      </c>
      <c r="M1054" s="21">
        <v>143.2</v>
      </c>
      <c r="N1054" s="2" t="s">
        <v>80</v>
      </c>
    </row>
    <row r="1055" s="2" customFormat="1" spans="1:14">
      <c r="A1055" s="20">
        <v>45901</v>
      </c>
      <c r="B1055" s="2" t="s">
        <v>90</v>
      </c>
      <c r="C1055" s="2" t="s">
        <v>91</v>
      </c>
      <c r="D1055" s="2">
        <v>2</v>
      </c>
      <c r="E1055" s="2">
        <v>565</v>
      </c>
      <c r="F1055" s="2">
        <v>84</v>
      </c>
      <c r="G1055" s="2">
        <v>123152</v>
      </c>
      <c r="H1055" s="2">
        <v>8</v>
      </c>
      <c r="I1055" s="2" t="s">
        <v>78</v>
      </c>
      <c r="J1055" s="3">
        <v>0.148672566371681</v>
      </c>
      <c r="K1055" s="21">
        <v>1466.09523809524</v>
      </c>
      <c r="L1055" s="21">
        <v>15394</v>
      </c>
      <c r="M1055" s="21">
        <v>70.625</v>
      </c>
      <c r="N1055" s="2" t="s">
        <v>79</v>
      </c>
    </row>
    <row r="1056" s="2" customFormat="1" spans="1:14">
      <c r="A1056" s="20">
        <v>45902</v>
      </c>
      <c r="B1056" s="2" t="s">
        <v>90</v>
      </c>
      <c r="C1056" s="2" t="s">
        <v>91</v>
      </c>
      <c r="D1056" s="2">
        <v>2</v>
      </c>
      <c r="E1056" s="2">
        <v>446</v>
      </c>
      <c r="F1056" s="2">
        <v>60</v>
      </c>
      <c r="G1056" s="2">
        <v>96941</v>
      </c>
      <c r="H1056" s="2">
        <v>4</v>
      </c>
      <c r="I1056" s="2" t="s">
        <v>78</v>
      </c>
      <c r="J1056" s="3">
        <v>0.134529147982063</v>
      </c>
      <c r="K1056" s="21">
        <v>1615.68333333333</v>
      </c>
      <c r="L1056" s="21">
        <v>24235.25</v>
      </c>
      <c r="M1056" s="21">
        <v>111.5</v>
      </c>
      <c r="N1056" s="2" t="s">
        <v>79</v>
      </c>
    </row>
    <row r="1057" s="2" customFormat="1" spans="1:14">
      <c r="A1057" s="20">
        <v>45903</v>
      </c>
      <c r="B1057" s="2" t="s">
        <v>90</v>
      </c>
      <c r="C1057" s="2" t="s">
        <v>91</v>
      </c>
      <c r="D1057" s="2">
        <v>2</v>
      </c>
      <c r="E1057" s="2">
        <v>468</v>
      </c>
      <c r="F1057" s="2">
        <v>62</v>
      </c>
      <c r="G1057" s="2">
        <v>72437</v>
      </c>
      <c r="H1057" s="2">
        <v>8</v>
      </c>
      <c r="I1057" s="2" t="s">
        <v>81</v>
      </c>
      <c r="J1057" s="3">
        <v>0.132478632478633</v>
      </c>
      <c r="K1057" s="21">
        <v>1168.33870967742</v>
      </c>
      <c r="L1057" s="21">
        <v>9054.625</v>
      </c>
      <c r="M1057" s="21">
        <v>58.5</v>
      </c>
      <c r="N1057" s="2" t="s">
        <v>79</v>
      </c>
    </row>
    <row r="1058" s="2" customFormat="1" spans="1:14">
      <c r="A1058" s="20">
        <v>45904</v>
      </c>
      <c r="B1058" s="2" t="s">
        <v>90</v>
      </c>
      <c r="C1058" s="2" t="s">
        <v>91</v>
      </c>
      <c r="D1058" s="2">
        <v>2</v>
      </c>
      <c r="E1058" s="2">
        <v>438</v>
      </c>
      <c r="F1058" s="2">
        <v>58</v>
      </c>
      <c r="G1058" s="2">
        <v>67445</v>
      </c>
      <c r="H1058" s="2">
        <v>4</v>
      </c>
      <c r="I1058" s="2" t="s">
        <v>78</v>
      </c>
      <c r="J1058" s="3">
        <v>0.132420091324201</v>
      </c>
      <c r="K1058" s="21">
        <v>1162.84482758621</v>
      </c>
      <c r="L1058" s="21">
        <v>16861.25</v>
      </c>
      <c r="M1058" s="21">
        <v>109.5</v>
      </c>
      <c r="N1058" s="2" t="s">
        <v>79</v>
      </c>
    </row>
    <row r="1059" s="2" customFormat="1" spans="1:14">
      <c r="A1059" s="20">
        <v>45905</v>
      </c>
      <c r="B1059" s="2" t="s">
        <v>90</v>
      </c>
      <c r="C1059" s="2" t="s">
        <v>91</v>
      </c>
      <c r="D1059" s="2">
        <v>2</v>
      </c>
      <c r="E1059" s="2">
        <v>459</v>
      </c>
      <c r="F1059" s="2">
        <v>66</v>
      </c>
      <c r="G1059" s="2">
        <v>82459</v>
      </c>
      <c r="H1059" s="2">
        <v>8</v>
      </c>
      <c r="I1059" s="2" t="s">
        <v>78</v>
      </c>
      <c r="J1059" s="3">
        <v>0.143790849673203</v>
      </c>
      <c r="K1059" s="21">
        <v>1249.37878787879</v>
      </c>
      <c r="L1059" s="21">
        <v>10307.375</v>
      </c>
      <c r="M1059" s="21">
        <v>57.375</v>
      </c>
      <c r="N1059" s="2" t="s">
        <v>79</v>
      </c>
    </row>
    <row r="1060" s="2" customFormat="1" spans="1:14">
      <c r="A1060" s="20">
        <v>45906</v>
      </c>
      <c r="B1060" s="2" t="s">
        <v>90</v>
      </c>
      <c r="C1060" s="2" t="s">
        <v>91</v>
      </c>
      <c r="D1060" s="2">
        <v>2</v>
      </c>
      <c r="E1060" s="2">
        <v>585</v>
      </c>
      <c r="F1060" s="2">
        <v>70</v>
      </c>
      <c r="G1060" s="2">
        <v>84307</v>
      </c>
      <c r="H1060" s="2">
        <v>4</v>
      </c>
      <c r="I1060" s="2" t="s">
        <v>78</v>
      </c>
      <c r="J1060" s="3">
        <v>0.11965811965812</v>
      </c>
      <c r="K1060" s="21">
        <v>1204.38571428571</v>
      </c>
      <c r="L1060" s="21">
        <v>21076.75</v>
      </c>
      <c r="M1060" s="21">
        <v>146.25</v>
      </c>
      <c r="N1060" s="2" t="s">
        <v>80</v>
      </c>
    </row>
    <row r="1061" s="2" customFormat="1" spans="1:14">
      <c r="A1061" s="20">
        <v>45907</v>
      </c>
      <c r="B1061" s="2" t="s">
        <v>90</v>
      </c>
      <c r="C1061" s="2" t="s">
        <v>91</v>
      </c>
      <c r="D1061" s="2">
        <v>2</v>
      </c>
      <c r="E1061" s="2">
        <v>662</v>
      </c>
      <c r="F1061" s="2">
        <v>89</v>
      </c>
      <c r="G1061" s="2">
        <v>149437</v>
      </c>
      <c r="H1061" s="2">
        <v>4</v>
      </c>
      <c r="I1061" s="2" t="s">
        <v>78</v>
      </c>
      <c r="J1061" s="3">
        <v>0.134441087613293</v>
      </c>
      <c r="K1061" s="21">
        <v>1679.06741573034</v>
      </c>
      <c r="L1061" s="21">
        <v>37359.25</v>
      </c>
      <c r="M1061" s="21">
        <v>165.5</v>
      </c>
      <c r="N1061" s="2" t="s">
        <v>80</v>
      </c>
    </row>
    <row r="1062" s="2" customFormat="1" spans="1:14">
      <c r="A1062" s="20">
        <v>45908</v>
      </c>
      <c r="B1062" s="2" t="s">
        <v>90</v>
      </c>
      <c r="C1062" s="2" t="s">
        <v>91</v>
      </c>
      <c r="D1062" s="2">
        <v>2</v>
      </c>
      <c r="E1062" s="2">
        <v>479</v>
      </c>
      <c r="F1062" s="2">
        <v>66</v>
      </c>
      <c r="G1062" s="2">
        <v>102599</v>
      </c>
      <c r="H1062" s="2">
        <v>5</v>
      </c>
      <c r="I1062" s="2" t="s">
        <v>81</v>
      </c>
      <c r="J1062" s="3">
        <v>0.137787056367432</v>
      </c>
      <c r="K1062" s="21">
        <v>1554.5303030303</v>
      </c>
      <c r="L1062" s="21">
        <v>20519.8</v>
      </c>
      <c r="M1062" s="21">
        <v>95.8</v>
      </c>
      <c r="N1062" s="2" t="s">
        <v>79</v>
      </c>
    </row>
    <row r="1063" s="2" customFormat="1" spans="1:14">
      <c r="A1063" s="20">
        <v>45909</v>
      </c>
      <c r="B1063" s="2" t="s">
        <v>90</v>
      </c>
      <c r="C1063" s="2" t="s">
        <v>91</v>
      </c>
      <c r="D1063" s="2">
        <v>2</v>
      </c>
      <c r="E1063" s="2">
        <v>486</v>
      </c>
      <c r="F1063" s="2">
        <v>59</v>
      </c>
      <c r="G1063" s="2">
        <v>85584</v>
      </c>
      <c r="H1063" s="2">
        <v>7</v>
      </c>
      <c r="I1063" s="2" t="s">
        <v>81</v>
      </c>
      <c r="J1063" s="3">
        <v>0.121399176954732</v>
      </c>
      <c r="K1063" s="21">
        <v>1450.57627118644</v>
      </c>
      <c r="L1063" s="21">
        <v>12226.2857142857</v>
      </c>
      <c r="M1063" s="21">
        <v>69.4285714285714</v>
      </c>
      <c r="N1063" s="2" t="s">
        <v>79</v>
      </c>
    </row>
    <row r="1064" s="2" customFormat="1" spans="1:14">
      <c r="A1064" s="20">
        <v>45910</v>
      </c>
      <c r="B1064" s="2" t="s">
        <v>90</v>
      </c>
      <c r="C1064" s="2" t="s">
        <v>91</v>
      </c>
      <c r="D1064" s="2">
        <v>2</v>
      </c>
      <c r="E1064" s="2">
        <v>513</v>
      </c>
      <c r="F1064" s="2">
        <v>64</v>
      </c>
      <c r="G1064" s="2">
        <v>75321</v>
      </c>
      <c r="H1064" s="2">
        <v>6</v>
      </c>
      <c r="I1064" s="2" t="s">
        <v>78</v>
      </c>
      <c r="J1064" s="3">
        <v>0.124756335282651</v>
      </c>
      <c r="K1064" s="21">
        <v>1176.890625</v>
      </c>
      <c r="L1064" s="21">
        <v>12553.5</v>
      </c>
      <c r="M1064" s="21">
        <v>85.5</v>
      </c>
      <c r="N1064" s="2" t="s">
        <v>79</v>
      </c>
    </row>
    <row r="1065" s="2" customFormat="1" spans="1:14">
      <c r="A1065" s="20">
        <v>45911</v>
      </c>
      <c r="B1065" s="2" t="s">
        <v>90</v>
      </c>
      <c r="C1065" s="2" t="s">
        <v>91</v>
      </c>
      <c r="D1065" s="2">
        <v>2</v>
      </c>
      <c r="E1065" s="2">
        <v>491</v>
      </c>
      <c r="F1065" s="2">
        <v>64</v>
      </c>
      <c r="G1065" s="2">
        <v>91046</v>
      </c>
      <c r="H1065" s="2">
        <v>5</v>
      </c>
      <c r="I1065" s="2" t="s">
        <v>78</v>
      </c>
      <c r="J1065" s="3">
        <v>0.130346232179226</v>
      </c>
      <c r="K1065" s="21">
        <v>1422.59375</v>
      </c>
      <c r="L1065" s="21">
        <v>18209.2</v>
      </c>
      <c r="M1065" s="21">
        <v>98.2</v>
      </c>
      <c r="N1065" s="2" t="s">
        <v>79</v>
      </c>
    </row>
    <row r="1066" s="2" customFormat="1" spans="1:14">
      <c r="A1066" s="20">
        <v>45912</v>
      </c>
      <c r="B1066" s="2" t="s">
        <v>90</v>
      </c>
      <c r="C1066" s="2" t="s">
        <v>91</v>
      </c>
      <c r="D1066" s="2">
        <v>2</v>
      </c>
      <c r="E1066" s="2">
        <v>505</v>
      </c>
      <c r="F1066" s="2">
        <v>65</v>
      </c>
      <c r="G1066" s="2">
        <v>101914</v>
      </c>
      <c r="H1066" s="2">
        <v>6</v>
      </c>
      <c r="I1066" s="2" t="s">
        <v>81</v>
      </c>
      <c r="J1066" s="3">
        <v>0.128712871287129</v>
      </c>
      <c r="K1066" s="21">
        <v>1567.90769230769</v>
      </c>
      <c r="L1066" s="21">
        <v>16985.6666666667</v>
      </c>
      <c r="M1066" s="21">
        <v>84.1666666666667</v>
      </c>
      <c r="N1066" s="2" t="s">
        <v>79</v>
      </c>
    </row>
    <row r="1067" s="2" customFormat="1" spans="1:14">
      <c r="A1067" s="20">
        <v>45913</v>
      </c>
      <c r="B1067" s="2" t="s">
        <v>90</v>
      </c>
      <c r="C1067" s="2" t="s">
        <v>91</v>
      </c>
      <c r="D1067" s="2">
        <v>2</v>
      </c>
      <c r="E1067" s="2">
        <v>692</v>
      </c>
      <c r="F1067" s="2">
        <v>90</v>
      </c>
      <c r="G1067" s="2">
        <v>126841</v>
      </c>
      <c r="H1067" s="2">
        <v>5</v>
      </c>
      <c r="I1067" s="2" t="s">
        <v>81</v>
      </c>
      <c r="J1067" s="3">
        <v>0.130057803468208</v>
      </c>
      <c r="K1067" s="21">
        <v>1409.34444444444</v>
      </c>
      <c r="L1067" s="21">
        <v>25368.2</v>
      </c>
      <c r="M1067" s="21">
        <v>138.4</v>
      </c>
      <c r="N1067" s="2" t="s">
        <v>80</v>
      </c>
    </row>
    <row r="1068" s="2" customFormat="1" spans="1:14">
      <c r="A1068" s="20">
        <v>45914</v>
      </c>
      <c r="B1068" s="2" t="s">
        <v>90</v>
      </c>
      <c r="C1068" s="2" t="s">
        <v>91</v>
      </c>
      <c r="D1068" s="2">
        <v>2</v>
      </c>
      <c r="E1068" s="2">
        <v>683</v>
      </c>
      <c r="F1068" s="2">
        <v>83</v>
      </c>
      <c r="G1068" s="2">
        <v>102103</v>
      </c>
      <c r="H1068" s="2">
        <v>4</v>
      </c>
      <c r="I1068" s="2" t="s">
        <v>78</v>
      </c>
      <c r="J1068" s="3">
        <v>0.121522693997072</v>
      </c>
      <c r="K1068" s="21">
        <v>1230.15662650602</v>
      </c>
      <c r="L1068" s="21">
        <v>25525.75</v>
      </c>
      <c r="M1068" s="21">
        <v>170.75</v>
      </c>
      <c r="N1068" s="2" t="s">
        <v>80</v>
      </c>
    </row>
    <row r="1069" s="2" customFormat="1" spans="1:14">
      <c r="A1069" s="20">
        <v>45915</v>
      </c>
      <c r="B1069" s="2" t="s">
        <v>90</v>
      </c>
      <c r="C1069" s="2" t="s">
        <v>91</v>
      </c>
      <c r="D1069" s="2">
        <v>2</v>
      </c>
      <c r="E1069" s="2">
        <v>470</v>
      </c>
      <c r="F1069" s="2">
        <v>69</v>
      </c>
      <c r="G1069" s="2">
        <v>86428</v>
      </c>
      <c r="H1069" s="2">
        <v>8</v>
      </c>
      <c r="I1069" s="2" t="s">
        <v>78</v>
      </c>
      <c r="J1069" s="3">
        <v>0.146808510638298</v>
      </c>
      <c r="K1069" s="21">
        <v>1252.57971014493</v>
      </c>
      <c r="L1069" s="21">
        <v>10803.5</v>
      </c>
      <c r="M1069" s="21">
        <v>58.75</v>
      </c>
      <c r="N1069" s="2" t="s">
        <v>79</v>
      </c>
    </row>
    <row r="1070" s="2" customFormat="1" spans="1:14">
      <c r="A1070" s="20">
        <v>45916</v>
      </c>
      <c r="B1070" s="2" t="s">
        <v>90</v>
      </c>
      <c r="C1070" s="2" t="s">
        <v>91</v>
      </c>
      <c r="D1070" s="2">
        <v>2</v>
      </c>
      <c r="E1070" s="2">
        <v>488</v>
      </c>
      <c r="F1070" s="2">
        <v>60</v>
      </c>
      <c r="G1070" s="2">
        <v>67320</v>
      </c>
      <c r="H1070" s="2">
        <v>6</v>
      </c>
      <c r="I1070" s="2" t="s">
        <v>78</v>
      </c>
      <c r="J1070" s="3">
        <v>0.122950819672131</v>
      </c>
      <c r="K1070" s="21">
        <v>1122</v>
      </c>
      <c r="L1070" s="21">
        <v>11220</v>
      </c>
      <c r="M1070" s="21">
        <v>81.3333333333333</v>
      </c>
      <c r="N1070" s="2" t="s">
        <v>79</v>
      </c>
    </row>
    <row r="1071" s="2" customFormat="1" spans="1:14">
      <c r="A1071" s="20">
        <v>45917</v>
      </c>
      <c r="B1071" s="2" t="s">
        <v>90</v>
      </c>
      <c r="C1071" s="2" t="s">
        <v>91</v>
      </c>
      <c r="D1071" s="2">
        <v>2</v>
      </c>
      <c r="E1071" s="2">
        <v>489</v>
      </c>
      <c r="F1071" s="2">
        <v>63</v>
      </c>
      <c r="G1071" s="2">
        <v>75138</v>
      </c>
      <c r="H1071" s="2">
        <v>7</v>
      </c>
      <c r="I1071" s="2" t="s">
        <v>78</v>
      </c>
      <c r="J1071" s="3">
        <v>0.128834355828221</v>
      </c>
      <c r="K1071" s="21">
        <v>1192.66666666667</v>
      </c>
      <c r="L1071" s="21">
        <v>10734</v>
      </c>
      <c r="M1071" s="21">
        <v>69.8571428571429</v>
      </c>
      <c r="N1071" s="2" t="s">
        <v>79</v>
      </c>
    </row>
    <row r="1072" s="2" customFormat="1" spans="1:14">
      <c r="A1072" s="20">
        <v>45918</v>
      </c>
      <c r="B1072" s="2" t="s">
        <v>90</v>
      </c>
      <c r="C1072" s="2" t="s">
        <v>91</v>
      </c>
      <c r="D1072" s="2">
        <v>2</v>
      </c>
      <c r="E1072" s="2">
        <v>436</v>
      </c>
      <c r="F1072" s="2">
        <v>52</v>
      </c>
      <c r="G1072" s="2">
        <v>59010</v>
      </c>
      <c r="H1072" s="2">
        <v>6</v>
      </c>
      <c r="I1072" s="2" t="s">
        <v>78</v>
      </c>
      <c r="J1072" s="3">
        <v>0.119266055045872</v>
      </c>
      <c r="K1072" s="21">
        <v>1134.80769230769</v>
      </c>
      <c r="L1072" s="21">
        <v>9835</v>
      </c>
      <c r="M1072" s="21">
        <v>72.6666666666667</v>
      </c>
      <c r="N1072" s="2" t="s">
        <v>79</v>
      </c>
    </row>
    <row r="1073" s="2" customFormat="1" spans="1:14">
      <c r="A1073" s="20">
        <v>45919</v>
      </c>
      <c r="B1073" s="2" t="s">
        <v>90</v>
      </c>
      <c r="C1073" s="2" t="s">
        <v>91</v>
      </c>
      <c r="D1073" s="2">
        <v>2</v>
      </c>
      <c r="E1073" s="2">
        <v>441</v>
      </c>
      <c r="F1073" s="2">
        <v>60</v>
      </c>
      <c r="G1073" s="2">
        <v>74221</v>
      </c>
      <c r="H1073" s="2">
        <v>6</v>
      </c>
      <c r="I1073" s="2" t="s">
        <v>78</v>
      </c>
      <c r="J1073" s="3">
        <v>0.136054421768707</v>
      </c>
      <c r="K1073" s="21">
        <v>1237.01666666667</v>
      </c>
      <c r="L1073" s="21">
        <v>12370.1666666667</v>
      </c>
      <c r="M1073" s="21">
        <v>73.5</v>
      </c>
      <c r="N1073" s="2" t="s">
        <v>79</v>
      </c>
    </row>
    <row r="1074" s="2" customFormat="1" spans="1:14">
      <c r="A1074" s="20">
        <v>45920</v>
      </c>
      <c r="B1074" s="2" t="s">
        <v>90</v>
      </c>
      <c r="C1074" s="2" t="s">
        <v>91</v>
      </c>
      <c r="D1074" s="2">
        <v>2</v>
      </c>
      <c r="E1074" s="2">
        <v>794</v>
      </c>
      <c r="F1074" s="2">
        <v>103</v>
      </c>
      <c r="G1074" s="2">
        <v>127633</v>
      </c>
      <c r="H1074" s="2">
        <v>6</v>
      </c>
      <c r="I1074" s="2" t="s">
        <v>78</v>
      </c>
      <c r="J1074" s="3">
        <v>0.129722921914358</v>
      </c>
      <c r="K1074" s="21">
        <v>1239.15533980582</v>
      </c>
      <c r="L1074" s="21">
        <v>21272.1666666667</v>
      </c>
      <c r="M1074" s="21">
        <v>132.333333333333</v>
      </c>
      <c r="N1074" s="2" t="s">
        <v>80</v>
      </c>
    </row>
    <row r="1075" s="2" customFormat="1" spans="1:14">
      <c r="A1075" s="20">
        <v>45921</v>
      </c>
      <c r="B1075" s="2" t="s">
        <v>90</v>
      </c>
      <c r="C1075" s="2" t="s">
        <v>91</v>
      </c>
      <c r="D1075" s="2">
        <v>2</v>
      </c>
      <c r="E1075" s="2">
        <v>655</v>
      </c>
      <c r="F1075" s="2">
        <v>83</v>
      </c>
      <c r="G1075" s="2">
        <v>120417</v>
      </c>
      <c r="H1075" s="2">
        <v>5</v>
      </c>
      <c r="I1075" s="2" t="s">
        <v>78</v>
      </c>
      <c r="J1075" s="3">
        <v>0.126717557251908</v>
      </c>
      <c r="K1075" s="21">
        <v>1450.80722891566</v>
      </c>
      <c r="L1075" s="21">
        <v>24083.4</v>
      </c>
      <c r="M1075" s="21">
        <v>131</v>
      </c>
      <c r="N1075" s="2" t="s">
        <v>80</v>
      </c>
    </row>
    <row r="1076" s="2" customFormat="1" spans="1:14">
      <c r="A1076" s="20">
        <v>45922</v>
      </c>
      <c r="B1076" s="2" t="s">
        <v>90</v>
      </c>
      <c r="C1076" s="2" t="s">
        <v>91</v>
      </c>
      <c r="D1076" s="2">
        <v>2</v>
      </c>
      <c r="E1076" s="2">
        <v>583</v>
      </c>
      <c r="F1076" s="2">
        <v>75</v>
      </c>
      <c r="G1076" s="2">
        <v>106039</v>
      </c>
      <c r="H1076" s="2">
        <v>6</v>
      </c>
      <c r="I1076" s="2" t="s">
        <v>78</v>
      </c>
      <c r="J1076" s="3">
        <v>0.128644939965695</v>
      </c>
      <c r="K1076" s="21">
        <v>1413.85333333333</v>
      </c>
      <c r="L1076" s="21">
        <v>17673.1666666667</v>
      </c>
      <c r="M1076" s="21">
        <v>97.1666666666667</v>
      </c>
      <c r="N1076" s="2" t="s">
        <v>79</v>
      </c>
    </row>
    <row r="1077" s="2" customFormat="1" spans="1:14">
      <c r="A1077" s="20">
        <v>45923</v>
      </c>
      <c r="B1077" s="2" t="s">
        <v>90</v>
      </c>
      <c r="C1077" s="2" t="s">
        <v>91</v>
      </c>
      <c r="D1077" s="2">
        <v>2</v>
      </c>
      <c r="E1077" s="2">
        <v>540</v>
      </c>
      <c r="F1077" s="2">
        <v>67</v>
      </c>
      <c r="G1077" s="2">
        <v>107446</v>
      </c>
      <c r="H1077" s="2">
        <v>5</v>
      </c>
      <c r="I1077" s="2" t="s">
        <v>78</v>
      </c>
      <c r="J1077" s="3">
        <v>0.124074074074074</v>
      </c>
      <c r="K1077" s="21">
        <v>1603.67164179104</v>
      </c>
      <c r="L1077" s="21">
        <v>21489.2</v>
      </c>
      <c r="M1077" s="21">
        <v>108</v>
      </c>
      <c r="N1077" s="2" t="s">
        <v>79</v>
      </c>
    </row>
    <row r="1078" s="2" customFormat="1" spans="1:14">
      <c r="A1078" s="20">
        <v>45924</v>
      </c>
      <c r="B1078" s="2" t="s">
        <v>90</v>
      </c>
      <c r="C1078" s="2" t="s">
        <v>91</v>
      </c>
      <c r="D1078" s="2">
        <v>2</v>
      </c>
      <c r="E1078" s="2">
        <v>441</v>
      </c>
      <c r="F1078" s="2">
        <v>54</v>
      </c>
      <c r="G1078" s="2">
        <v>80424</v>
      </c>
      <c r="H1078" s="2">
        <v>7</v>
      </c>
      <c r="I1078" s="2" t="s">
        <v>78</v>
      </c>
      <c r="J1078" s="3">
        <v>0.122448979591837</v>
      </c>
      <c r="K1078" s="21">
        <v>1489.33333333333</v>
      </c>
      <c r="L1078" s="21">
        <v>11489.1428571429</v>
      </c>
      <c r="M1078" s="21">
        <v>63</v>
      </c>
      <c r="N1078" s="2" t="s">
        <v>79</v>
      </c>
    </row>
    <row r="1079" s="2" customFormat="1" spans="1:14">
      <c r="A1079" s="20">
        <v>45925</v>
      </c>
      <c r="B1079" s="2" t="s">
        <v>90</v>
      </c>
      <c r="C1079" s="2" t="s">
        <v>91</v>
      </c>
      <c r="D1079" s="2">
        <v>2</v>
      </c>
      <c r="E1079" s="2">
        <v>530</v>
      </c>
      <c r="F1079" s="2">
        <v>77</v>
      </c>
      <c r="G1079" s="2">
        <v>100444</v>
      </c>
      <c r="H1079" s="2">
        <v>9</v>
      </c>
      <c r="I1079" s="2" t="s">
        <v>78</v>
      </c>
      <c r="J1079" s="3">
        <v>0.145283018867924</v>
      </c>
      <c r="K1079" s="21">
        <v>1304.46753246753</v>
      </c>
      <c r="L1079" s="21">
        <v>11160.4444444445</v>
      </c>
      <c r="M1079" s="21">
        <v>58.8888888888889</v>
      </c>
      <c r="N1079" s="2" t="s">
        <v>79</v>
      </c>
    </row>
    <row r="1080" s="2" customFormat="1" spans="1:14">
      <c r="A1080" s="20">
        <v>45926</v>
      </c>
      <c r="B1080" s="2" t="s">
        <v>90</v>
      </c>
      <c r="C1080" s="2" t="s">
        <v>91</v>
      </c>
      <c r="D1080" s="2">
        <v>2</v>
      </c>
      <c r="E1080" s="2">
        <v>414</v>
      </c>
      <c r="F1080" s="2">
        <v>61</v>
      </c>
      <c r="G1080" s="2">
        <v>91017</v>
      </c>
      <c r="H1080" s="2">
        <v>8</v>
      </c>
      <c r="I1080" s="2" t="s">
        <v>78</v>
      </c>
      <c r="J1080" s="3">
        <v>0.147342995169082</v>
      </c>
      <c r="K1080" s="21">
        <v>1492.08196721311</v>
      </c>
      <c r="L1080" s="21">
        <v>11377.125</v>
      </c>
      <c r="M1080" s="21">
        <v>51.75</v>
      </c>
      <c r="N1080" s="2" t="s">
        <v>79</v>
      </c>
    </row>
    <row r="1081" s="2" customFormat="1" spans="1:14">
      <c r="A1081" s="20">
        <v>45927</v>
      </c>
      <c r="B1081" s="2" t="s">
        <v>90</v>
      </c>
      <c r="C1081" s="2" t="s">
        <v>91</v>
      </c>
      <c r="D1081" s="2">
        <v>2</v>
      </c>
      <c r="E1081" s="2">
        <v>778</v>
      </c>
      <c r="F1081" s="2">
        <v>108</v>
      </c>
      <c r="G1081" s="2">
        <v>167191</v>
      </c>
      <c r="H1081" s="2">
        <v>5</v>
      </c>
      <c r="I1081" s="2" t="s">
        <v>78</v>
      </c>
      <c r="J1081" s="3">
        <v>0.138817480719794</v>
      </c>
      <c r="K1081" s="21">
        <v>1548.06481481482</v>
      </c>
      <c r="L1081" s="21">
        <v>33438.2</v>
      </c>
      <c r="M1081" s="21">
        <v>155.6</v>
      </c>
      <c r="N1081" s="2" t="s">
        <v>80</v>
      </c>
    </row>
    <row r="1082" s="2" customFormat="1" spans="1:14">
      <c r="A1082" s="20">
        <v>45748</v>
      </c>
      <c r="B1082" s="2" t="s">
        <v>92</v>
      </c>
      <c r="C1082" s="2" t="s">
        <v>93</v>
      </c>
      <c r="D1082" s="2">
        <v>2</v>
      </c>
      <c r="E1082" s="2">
        <v>716</v>
      </c>
      <c r="F1082" s="2">
        <v>163</v>
      </c>
      <c r="G1082" s="2">
        <v>215742</v>
      </c>
      <c r="H1082" s="2">
        <v>7</v>
      </c>
      <c r="I1082" s="2" t="s">
        <v>78</v>
      </c>
      <c r="J1082" s="3">
        <v>0.227653631284916</v>
      </c>
      <c r="K1082" s="21">
        <v>1323.57055214724</v>
      </c>
      <c r="L1082" s="21">
        <v>30820.2857142857</v>
      </c>
      <c r="M1082" s="21">
        <v>102.285714285714</v>
      </c>
      <c r="N1082" s="2" t="s">
        <v>79</v>
      </c>
    </row>
    <row r="1083" s="2" customFormat="1" spans="1:14">
      <c r="A1083" s="20">
        <v>45749</v>
      </c>
      <c r="B1083" s="2" t="s">
        <v>92</v>
      </c>
      <c r="C1083" s="2" t="s">
        <v>93</v>
      </c>
      <c r="D1083" s="2">
        <v>2</v>
      </c>
      <c r="E1083" s="2">
        <v>511</v>
      </c>
      <c r="F1083" s="2">
        <v>115</v>
      </c>
      <c r="G1083" s="2">
        <v>192926</v>
      </c>
      <c r="H1083" s="2">
        <v>9</v>
      </c>
      <c r="I1083" s="2" t="s">
        <v>81</v>
      </c>
      <c r="J1083" s="3">
        <v>0.225048923679061</v>
      </c>
      <c r="K1083" s="21">
        <v>1677.61739130435</v>
      </c>
      <c r="L1083" s="21">
        <v>21436.2222222222</v>
      </c>
      <c r="M1083" s="21">
        <v>56.7777777777778</v>
      </c>
      <c r="N1083" s="2" t="s">
        <v>79</v>
      </c>
    </row>
    <row r="1084" s="2" customFormat="1" spans="1:14">
      <c r="A1084" s="20">
        <v>45750</v>
      </c>
      <c r="B1084" s="2" t="s">
        <v>92</v>
      </c>
      <c r="C1084" s="2" t="s">
        <v>93</v>
      </c>
      <c r="D1084" s="2">
        <v>2</v>
      </c>
      <c r="E1084" s="2">
        <v>635</v>
      </c>
      <c r="F1084" s="2">
        <v>118</v>
      </c>
      <c r="G1084" s="2">
        <v>169751</v>
      </c>
      <c r="H1084" s="2">
        <v>5</v>
      </c>
      <c r="I1084" s="2" t="s">
        <v>78</v>
      </c>
      <c r="J1084" s="3">
        <v>0.185826771653543</v>
      </c>
      <c r="K1084" s="21">
        <v>1438.56779661017</v>
      </c>
      <c r="L1084" s="21">
        <v>33950.2</v>
      </c>
      <c r="M1084" s="21">
        <v>127</v>
      </c>
      <c r="N1084" s="2" t="s">
        <v>79</v>
      </c>
    </row>
    <row r="1085" s="2" customFormat="1" spans="1:14">
      <c r="A1085" s="20">
        <v>45751</v>
      </c>
      <c r="B1085" s="2" t="s">
        <v>92</v>
      </c>
      <c r="C1085" s="2" t="s">
        <v>93</v>
      </c>
      <c r="D1085" s="2">
        <v>2</v>
      </c>
      <c r="E1085" s="2">
        <v>514</v>
      </c>
      <c r="F1085" s="2">
        <v>108</v>
      </c>
      <c r="G1085" s="2">
        <v>158795</v>
      </c>
      <c r="H1085" s="2">
        <v>9</v>
      </c>
      <c r="I1085" s="2" t="s">
        <v>78</v>
      </c>
      <c r="J1085" s="3">
        <v>0.21011673151751</v>
      </c>
      <c r="K1085" s="21">
        <v>1470.32407407407</v>
      </c>
      <c r="L1085" s="21">
        <v>17643.8888888889</v>
      </c>
      <c r="M1085" s="21">
        <v>57.1111111111111</v>
      </c>
      <c r="N1085" s="2" t="s">
        <v>79</v>
      </c>
    </row>
    <row r="1086" s="2" customFormat="1" spans="1:14">
      <c r="A1086" s="20">
        <v>45752</v>
      </c>
      <c r="B1086" s="2" t="s">
        <v>92</v>
      </c>
      <c r="C1086" s="2" t="s">
        <v>93</v>
      </c>
      <c r="D1086" s="2">
        <v>2</v>
      </c>
      <c r="E1086" s="2">
        <v>835</v>
      </c>
      <c r="F1086" s="2">
        <v>155</v>
      </c>
      <c r="G1086" s="2">
        <v>207944</v>
      </c>
      <c r="H1086" s="2">
        <v>4</v>
      </c>
      <c r="I1086" s="2" t="s">
        <v>78</v>
      </c>
      <c r="J1086" s="3">
        <v>0.18562874251497</v>
      </c>
      <c r="K1086" s="21">
        <v>1341.57419354839</v>
      </c>
      <c r="L1086" s="21">
        <v>51986</v>
      </c>
      <c r="M1086" s="21">
        <v>208.75</v>
      </c>
      <c r="N1086" s="2" t="s">
        <v>80</v>
      </c>
    </row>
    <row r="1087" s="2" customFormat="1" spans="1:14">
      <c r="A1087" s="20">
        <v>45753</v>
      </c>
      <c r="B1087" s="2" t="s">
        <v>92</v>
      </c>
      <c r="C1087" s="2" t="s">
        <v>93</v>
      </c>
      <c r="D1087" s="2">
        <v>2</v>
      </c>
      <c r="E1087" s="2">
        <v>1054</v>
      </c>
      <c r="F1087" s="2">
        <v>236</v>
      </c>
      <c r="G1087" s="2">
        <v>349155</v>
      </c>
      <c r="H1087" s="2">
        <v>8</v>
      </c>
      <c r="I1087" s="2" t="s">
        <v>78</v>
      </c>
      <c r="J1087" s="3">
        <v>0.223908918406072</v>
      </c>
      <c r="K1087" s="21">
        <v>1479.47033898305</v>
      </c>
      <c r="L1087" s="21">
        <v>43644.375</v>
      </c>
      <c r="M1087" s="21">
        <v>131.75</v>
      </c>
      <c r="N1087" s="2" t="s">
        <v>80</v>
      </c>
    </row>
    <row r="1088" s="2" customFormat="1" spans="1:14">
      <c r="A1088" s="20">
        <v>45754</v>
      </c>
      <c r="B1088" s="2" t="s">
        <v>92</v>
      </c>
      <c r="C1088" s="2" t="s">
        <v>93</v>
      </c>
      <c r="D1088" s="2">
        <v>2</v>
      </c>
      <c r="E1088" s="2">
        <v>590</v>
      </c>
      <c r="F1088" s="2">
        <v>129</v>
      </c>
      <c r="G1088" s="2">
        <v>184516</v>
      </c>
      <c r="H1088" s="2">
        <v>8</v>
      </c>
      <c r="I1088" s="2" t="s">
        <v>78</v>
      </c>
      <c r="J1088" s="3">
        <v>0.21864406779661</v>
      </c>
      <c r="K1088" s="21">
        <v>1430.35658914729</v>
      </c>
      <c r="L1088" s="21">
        <v>23064.5</v>
      </c>
      <c r="M1088" s="21">
        <v>73.75</v>
      </c>
      <c r="N1088" s="2" t="s">
        <v>79</v>
      </c>
    </row>
    <row r="1089" s="2" customFormat="1" spans="1:14">
      <c r="A1089" s="20">
        <v>45755</v>
      </c>
      <c r="B1089" s="2" t="s">
        <v>92</v>
      </c>
      <c r="C1089" s="2" t="s">
        <v>93</v>
      </c>
      <c r="D1089" s="2">
        <v>2</v>
      </c>
      <c r="E1089" s="2">
        <v>771</v>
      </c>
      <c r="F1089" s="2">
        <v>182</v>
      </c>
      <c r="G1089" s="2">
        <v>269481</v>
      </c>
      <c r="H1089" s="2">
        <v>9</v>
      </c>
      <c r="I1089" s="2" t="s">
        <v>78</v>
      </c>
      <c r="J1089" s="3">
        <v>0.236057068741894</v>
      </c>
      <c r="K1089" s="21">
        <v>1480.66483516484</v>
      </c>
      <c r="L1089" s="21">
        <v>29942.3333333333</v>
      </c>
      <c r="M1089" s="21">
        <v>85.6666666666667</v>
      </c>
      <c r="N1089" s="2" t="s">
        <v>79</v>
      </c>
    </row>
    <row r="1090" s="2" customFormat="1" spans="1:14">
      <c r="A1090" s="20">
        <v>45756</v>
      </c>
      <c r="B1090" s="2" t="s">
        <v>92</v>
      </c>
      <c r="C1090" s="2" t="s">
        <v>93</v>
      </c>
      <c r="D1090" s="2">
        <v>2</v>
      </c>
      <c r="E1090" s="2">
        <v>620</v>
      </c>
      <c r="F1090" s="2">
        <v>130</v>
      </c>
      <c r="G1090" s="2">
        <v>159635</v>
      </c>
      <c r="H1090" s="2">
        <v>4</v>
      </c>
      <c r="I1090" s="2" t="s">
        <v>78</v>
      </c>
      <c r="J1090" s="3">
        <v>0.209677419354839</v>
      </c>
      <c r="K1090" s="21">
        <v>1227.96153846154</v>
      </c>
      <c r="L1090" s="21">
        <v>39908.75</v>
      </c>
      <c r="M1090" s="21">
        <v>155</v>
      </c>
      <c r="N1090" s="2" t="s">
        <v>79</v>
      </c>
    </row>
    <row r="1091" s="2" customFormat="1" spans="1:14">
      <c r="A1091" s="20">
        <v>45757</v>
      </c>
      <c r="B1091" s="2" t="s">
        <v>92</v>
      </c>
      <c r="C1091" s="2" t="s">
        <v>93</v>
      </c>
      <c r="D1091" s="2">
        <v>2</v>
      </c>
      <c r="E1091" s="2">
        <v>594</v>
      </c>
      <c r="F1091" s="2">
        <v>125</v>
      </c>
      <c r="G1091" s="2">
        <v>159122</v>
      </c>
      <c r="H1091" s="2">
        <v>9</v>
      </c>
      <c r="I1091" s="2" t="s">
        <v>78</v>
      </c>
      <c r="J1091" s="3">
        <v>0.210437710437711</v>
      </c>
      <c r="K1091" s="21">
        <v>1272.976</v>
      </c>
      <c r="L1091" s="21">
        <v>17680.2222222222</v>
      </c>
      <c r="M1091" s="21">
        <v>66</v>
      </c>
      <c r="N1091" s="2" t="s">
        <v>79</v>
      </c>
    </row>
    <row r="1092" s="2" customFormat="1" spans="1:14">
      <c r="A1092" s="20">
        <v>45758</v>
      </c>
      <c r="B1092" s="2" t="s">
        <v>92</v>
      </c>
      <c r="C1092" s="2" t="s">
        <v>93</v>
      </c>
      <c r="D1092" s="2">
        <v>2</v>
      </c>
      <c r="E1092" s="2">
        <v>598</v>
      </c>
      <c r="F1092" s="2">
        <v>124</v>
      </c>
      <c r="G1092" s="2">
        <v>208324</v>
      </c>
      <c r="H1092" s="2">
        <v>5</v>
      </c>
      <c r="I1092" s="2" t="s">
        <v>78</v>
      </c>
      <c r="J1092" s="3">
        <v>0.207357859531773</v>
      </c>
      <c r="K1092" s="21">
        <v>1680.03225806452</v>
      </c>
      <c r="L1092" s="21">
        <v>41664.8</v>
      </c>
      <c r="M1092" s="21">
        <v>119.6</v>
      </c>
      <c r="N1092" s="2" t="s">
        <v>79</v>
      </c>
    </row>
    <row r="1093" s="2" customFormat="1" spans="1:14">
      <c r="A1093" s="20">
        <v>45759</v>
      </c>
      <c r="B1093" s="2" t="s">
        <v>92</v>
      </c>
      <c r="C1093" s="2" t="s">
        <v>93</v>
      </c>
      <c r="D1093" s="2">
        <v>2</v>
      </c>
      <c r="E1093" s="2">
        <v>840</v>
      </c>
      <c r="F1093" s="2">
        <v>180</v>
      </c>
      <c r="G1093" s="2">
        <v>222737</v>
      </c>
      <c r="H1093" s="2">
        <v>8</v>
      </c>
      <c r="I1093" s="2" t="s">
        <v>78</v>
      </c>
      <c r="J1093" s="3">
        <v>0.214285714285714</v>
      </c>
      <c r="K1093" s="21">
        <v>1237.42777777778</v>
      </c>
      <c r="L1093" s="21">
        <v>27842.125</v>
      </c>
      <c r="M1093" s="21">
        <v>105</v>
      </c>
      <c r="N1093" s="2" t="s">
        <v>80</v>
      </c>
    </row>
    <row r="1094" s="2" customFormat="1" spans="1:14">
      <c r="A1094" s="20">
        <v>45760</v>
      </c>
      <c r="B1094" s="2" t="s">
        <v>92</v>
      </c>
      <c r="C1094" s="2" t="s">
        <v>93</v>
      </c>
      <c r="D1094" s="2">
        <v>2</v>
      </c>
      <c r="E1094" s="2">
        <v>837</v>
      </c>
      <c r="F1094" s="2">
        <v>174</v>
      </c>
      <c r="G1094" s="2">
        <v>266720</v>
      </c>
      <c r="H1094" s="2">
        <v>4</v>
      </c>
      <c r="I1094" s="2" t="s">
        <v>78</v>
      </c>
      <c r="J1094" s="3">
        <v>0.207885304659498</v>
      </c>
      <c r="K1094" s="21">
        <v>1532.87356321839</v>
      </c>
      <c r="L1094" s="21">
        <v>66680</v>
      </c>
      <c r="M1094" s="21">
        <v>209.25</v>
      </c>
      <c r="N1094" s="2" t="s">
        <v>80</v>
      </c>
    </row>
    <row r="1095" s="2" customFormat="1" spans="1:14">
      <c r="A1095" s="20">
        <v>45761</v>
      </c>
      <c r="B1095" s="2" t="s">
        <v>92</v>
      </c>
      <c r="C1095" s="2" t="s">
        <v>93</v>
      </c>
      <c r="D1095" s="2">
        <v>2</v>
      </c>
      <c r="E1095" s="2">
        <v>516</v>
      </c>
      <c r="F1095" s="2">
        <v>112</v>
      </c>
      <c r="G1095" s="2">
        <v>160470</v>
      </c>
      <c r="H1095" s="2">
        <v>7</v>
      </c>
      <c r="I1095" s="2" t="s">
        <v>78</v>
      </c>
      <c r="J1095" s="3">
        <v>0.217054263565891</v>
      </c>
      <c r="K1095" s="21">
        <v>1432.76785714286</v>
      </c>
      <c r="L1095" s="21">
        <v>22924.2857142857</v>
      </c>
      <c r="M1095" s="21">
        <v>73.7142857142857</v>
      </c>
      <c r="N1095" s="2" t="s">
        <v>79</v>
      </c>
    </row>
    <row r="1096" s="2" customFormat="1" spans="1:14">
      <c r="A1096" s="20">
        <v>45762</v>
      </c>
      <c r="B1096" s="2" t="s">
        <v>92</v>
      </c>
      <c r="C1096" s="2" t="s">
        <v>93</v>
      </c>
      <c r="D1096" s="2">
        <v>2</v>
      </c>
      <c r="E1096" s="2">
        <v>463</v>
      </c>
      <c r="F1096" s="2">
        <v>100</v>
      </c>
      <c r="G1096" s="2">
        <v>136098</v>
      </c>
      <c r="H1096" s="2">
        <v>7</v>
      </c>
      <c r="I1096" s="2" t="s">
        <v>78</v>
      </c>
      <c r="J1096" s="3">
        <v>0.215982721382289</v>
      </c>
      <c r="K1096" s="21">
        <v>1360.98</v>
      </c>
      <c r="L1096" s="21">
        <v>19442.5714285714</v>
      </c>
      <c r="M1096" s="21">
        <v>66.1428571428571</v>
      </c>
      <c r="N1096" s="2" t="s">
        <v>79</v>
      </c>
    </row>
    <row r="1097" s="2" customFormat="1" spans="1:14">
      <c r="A1097" s="20">
        <v>45763</v>
      </c>
      <c r="B1097" s="2" t="s">
        <v>92</v>
      </c>
      <c r="C1097" s="2" t="s">
        <v>93</v>
      </c>
      <c r="D1097" s="2">
        <v>2</v>
      </c>
      <c r="E1097" s="2">
        <v>477</v>
      </c>
      <c r="F1097" s="2">
        <v>89</v>
      </c>
      <c r="G1097" s="2">
        <v>146170</v>
      </c>
      <c r="H1097" s="2">
        <v>5</v>
      </c>
      <c r="I1097" s="2" t="s">
        <v>81</v>
      </c>
      <c r="J1097" s="3">
        <v>0.186582809224319</v>
      </c>
      <c r="K1097" s="21">
        <v>1642.3595505618</v>
      </c>
      <c r="L1097" s="21">
        <v>29234</v>
      </c>
      <c r="M1097" s="21">
        <v>95.4</v>
      </c>
      <c r="N1097" s="2" t="s">
        <v>79</v>
      </c>
    </row>
    <row r="1098" s="2" customFormat="1" spans="1:14">
      <c r="A1098" s="20">
        <v>45764</v>
      </c>
      <c r="B1098" s="2" t="s">
        <v>92</v>
      </c>
      <c r="C1098" s="2" t="s">
        <v>93</v>
      </c>
      <c r="D1098" s="2">
        <v>2</v>
      </c>
      <c r="E1098" s="2">
        <v>542</v>
      </c>
      <c r="F1098" s="2">
        <v>122</v>
      </c>
      <c r="G1098" s="2">
        <v>143791</v>
      </c>
      <c r="H1098" s="2">
        <v>7</v>
      </c>
      <c r="I1098" s="2" t="s">
        <v>78</v>
      </c>
      <c r="J1098" s="3">
        <v>0.225092250922509</v>
      </c>
      <c r="K1098" s="21">
        <v>1178.61475409836</v>
      </c>
      <c r="L1098" s="21">
        <v>20541.5714285714</v>
      </c>
      <c r="M1098" s="21">
        <v>77.4285714285714</v>
      </c>
      <c r="N1098" s="2" t="s">
        <v>79</v>
      </c>
    </row>
    <row r="1099" s="2" customFormat="1" spans="1:14">
      <c r="A1099" s="20">
        <v>45765</v>
      </c>
      <c r="B1099" s="2" t="s">
        <v>92</v>
      </c>
      <c r="C1099" s="2" t="s">
        <v>93</v>
      </c>
      <c r="D1099" s="2">
        <v>2</v>
      </c>
      <c r="E1099" s="2">
        <v>670</v>
      </c>
      <c r="F1099" s="2">
        <v>126</v>
      </c>
      <c r="G1099" s="2">
        <v>154040</v>
      </c>
      <c r="H1099" s="2">
        <v>4</v>
      </c>
      <c r="I1099" s="2" t="s">
        <v>78</v>
      </c>
      <c r="J1099" s="3">
        <v>0.188059701492537</v>
      </c>
      <c r="K1099" s="21">
        <v>1222.53968253968</v>
      </c>
      <c r="L1099" s="21">
        <v>38510</v>
      </c>
      <c r="M1099" s="21">
        <v>167.5</v>
      </c>
      <c r="N1099" s="2" t="s">
        <v>79</v>
      </c>
    </row>
    <row r="1100" s="2" customFormat="1" spans="1:14">
      <c r="A1100" s="20">
        <v>45766</v>
      </c>
      <c r="B1100" s="2" t="s">
        <v>92</v>
      </c>
      <c r="C1100" s="2" t="s">
        <v>93</v>
      </c>
      <c r="D1100" s="2">
        <v>2</v>
      </c>
      <c r="E1100" s="2">
        <v>914</v>
      </c>
      <c r="F1100" s="2">
        <v>194</v>
      </c>
      <c r="G1100" s="2">
        <v>238113</v>
      </c>
      <c r="H1100" s="2">
        <v>6</v>
      </c>
      <c r="I1100" s="2" t="s">
        <v>78</v>
      </c>
      <c r="J1100" s="3">
        <v>0.212253829321663</v>
      </c>
      <c r="K1100" s="21">
        <v>1227.38659793814</v>
      </c>
      <c r="L1100" s="21">
        <v>39685.5</v>
      </c>
      <c r="M1100" s="21">
        <v>152.333333333333</v>
      </c>
      <c r="N1100" s="2" t="s">
        <v>80</v>
      </c>
    </row>
    <row r="1101" s="2" customFormat="1" spans="1:14">
      <c r="A1101" s="20">
        <v>45767</v>
      </c>
      <c r="B1101" s="2" t="s">
        <v>92</v>
      </c>
      <c r="C1101" s="2" t="s">
        <v>93</v>
      </c>
      <c r="D1101" s="2">
        <v>2</v>
      </c>
      <c r="E1101" s="2">
        <v>1229</v>
      </c>
      <c r="F1101" s="2">
        <v>265</v>
      </c>
      <c r="G1101" s="2">
        <v>381839</v>
      </c>
      <c r="H1101" s="2">
        <v>5</v>
      </c>
      <c r="I1101" s="2" t="s">
        <v>78</v>
      </c>
      <c r="J1101" s="3">
        <v>0.215622457282343</v>
      </c>
      <c r="K1101" s="21">
        <v>1440.90188679245</v>
      </c>
      <c r="L1101" s="21">
        <v>76367.8</v>
      </c>
      <c r="M1101" s="21">
        <v>245.8</v>
      </c>
      <c r="N1101" s="2" t="s">
        <v>80</v>
      </c>
    </row>
    <row r="1102" s="2" customFormat="1" spans="1:14">
      <c r="A1102" s="20">
        <v>45768</v>
      </c>
      <c r="B1102" s="2" t="s">
        <v>92</v>
      </c>
      <c r="C1102" s="2" t="s">
        <v>93</v>
      </c>
      <c r="D1102" s="2">
        <v>2</v>
      </c>
      <c r="E1102" s="2">
        <v>537</v>
      </c>
      <c r="F1102" s="2">
        <v>119</v>
      </c>
      <c r="G1102" s="2">
        <v>160018</v>
      </c>
      <c r="H1102" s="2">
        <v>9</v>
      </c>
      <c r="I1102" s="2" t="s">
        <v>78</v>
      </c>
      <c r="J1102" s="3">
        <v>0.221601489757914</v>
      </c>
      <c r="K1102" s="21">
        <v>1344.68907563025</v>
      </c>
      <c r="L1102" s="21">
        <v>17779.7777777778</v>
      </c>
      <c r="M1102" s="21">
        <v>59.6666666666667</v>
      </c>
      <c r="N1102" s="2" t="s">
        <v>79</v>
      </c>
    </row>
    <row r="1103" s="2" customFormat="1" spans="1:14">
      <c r="A1103" s="20">
        <v>45769</v>
      </c>
      <c r="B1103" s="2" t="s">
        <v>92</v>
      </c>
      <c r="C1103" s="2" t="s">
        <v>93</v>
      </c>
      <c r="D1103" s="2">
        <v>2</v>
      </c>
      <c r="E1103" s="2">
        <v>683</v>
      </c>
      <c r="F1103" s="2">
        <v>154</v>
      </c>
      <c r="G1103" s="2">
        <v>177529</v>
      </c>
      <c r="H1103" s="2">
        <v>8</v>
      </c>
      <c r="I1103" s="2" t="s">
        <v>78</v>
      </c>
      <c r="J1103" s="3">
        <v>0.225475841874085</v>
      </c>
      <c r="K1103" s="21">
        <v>1152.78571428571</v>
      </c>
      <c r="L1103" s="21">
        <v>22191.125</v>
      </c>
      <c r="M1103" s="21">
        <v>85.375</v>
      </c>
      <c r="N1103" s="2" t="s">
        <v>79</v>
      </c>
    </row>
    <row r="1104" s="2" customFormat="1" spans="1:14">
      <c r="A1104" s="20">
        <v>45770</v>
      </c>
      <c r="B1104" s="2" t="s">
        <v>92</v>
      </c>
      <c r="C1104" s="2" t="s">
        <v>93</v>
      </c>
      <c r="D1104" s="2">
        <v>2</v>
      </c>
      <c r="E1104" s="2">
        <v>657</v>
      </c>
      <c r="F1104" s="2">
        <v>134</v>
      </c>
      <c r="G1104" s="2">
        <v>162399</v>
      </c>
      <c r="H1104" s="2">
        <v>4</v>
      </c>
      <c r="I1104" s="2" t="s">
        <v>78</v>
      </c>
      <c r="J1104" s="3">
        <v>0.203957382039574</v>
      </c>
      <c r="K1104" s="21">
        <v>1211.93283582089</v>
      </c>
      <c r="L1104" s="21">
        <v>40599.75</v>
      </c>
      <c r="M1104" s="21">
        <v>164.25</v>
      </c>
      <c r="N1104" s="2" t="s">
        <v>79</v>
      </c>
    </row>
    <row r="1105" s="2" customFormat="1" spans="1:14">
      <c r="A1105" s="20">
        <v>45771</v>
      </c>
      <c r="B1105" s="2" t="s">
        <v>92</v>
      </c>
      <c r="C1105" s="2" t="s">
        <v>93</v>
      </c>
      <c r="D1105" s="2">
        <v>2</v>
      </c>
      <c r="E1105" s="2">
        <v>658</v>
      </c>
      <c r="F1105" s="2">
        <v>145</v>
      </c>
      <c r="G1105" s="2">
        <v>192971</v>
      </c>
      <c r="H1105" s="2">
        <v>7</v>
      </c>
      <c r="I1105" s="2" t="s">
        <v>78</v>
      </c>
      <c r="J1105" s="3">
        <v>0.220364741641337</v>
      </c>
      <c r="K1105" s="21">
        <v>1330.83448275862</v>
      </c>
      <c r="L1105" s="21">
        <v>27567.2857142857</v>
      </c>
      <c r="M1105" s="21">
        <v>94</v>
      </c>
      <c r="N1105" s="2" t="s">
        <v>79</v>
      </c>
    </row>
    <row r="1106" s="2" customFormat="1" spans="1:14">
      <c r="A1106" s="20">
        <v>45772</v>
      </c>
      <c r="B1106" s="2" t="s">
        <v>92</v>
      </c>
      <c r="C1106" s="2" t="s">
        <v>93</v>
      </c>
      <c r="D1106" s="2">
        <v>2</v>
      </c>
      <c r="E1106" s="2">
        <v>709</v>
      </c>
      <c r="F1106" s="2">
        <v>149</v>
      </c>
      <c r="G1106" s="2">
        <v>187978</v>
      </c>
      <c r="H1106" s="2">
        <v>9</v>
      </c>
      <c r="I1106" s="2" t="s">
        <v>81</v>
      </c>
      <c r="J1106" s="3">
        <v>0.21015514809591</v>
      </c>
      <c r="K1106" s="21">
        <v>1261.59731543624</v>
      </c>
      <c r="L1106" s="21">
        <v>20886.4444444444</v>
      </c>
      <c r="M1106" s="21">
        <v>78.7777777777778</v>
      </c>
      <c r="N1106" s="2" t="s">
        <v>79</v>
      </c>
    </row>
    <row r="1107" s="2" customFormat="1" spans="1:14">
      <c r="A1107" s="20">
        <v>45773</v>
      </c>
      <c r="B1107" s="2" t="s">
        <v>92</v>
      </c>
      <c r="C1107" s="2" t="s">
        <v>93</v>
      </c>
      <c r="D1107" s="2">
        <v>2</v>
      </c>
      <c r="E1107" s="2">
        <v>763</v>
      </c>
      <c r="F1107" s="2">
        <v>137</v>
      </c>
      <c r="G1107" s="2">
        <v>221961</v>
      </c>
      <c r="H1107" s="2">
        <v>4</v>
      </c>
      <c r="I1107" s="2" t="s">
        <v>78</v>
      </c>
      <c r="J1107" s="3">
        <v>0.179554390563565</v>
      </c>
      <c r="K1107" s="21">
        <v>1620.15328467153</v>
      </c>
      <c r="L1107" s="21">
        <v>55490.25</v>
      </c>
      <c r="M1107" s="21">
        <v>190.75</v>
      </c>
      <c r="N1107" s="2" t="s">
        <v>80</v>
      </c>
    </row>
    <row r="1108" s="2" customFormat="1" spans="1:14">
      <c r="A1108" s="20">
        <v>45774</v>
      </c>
      <c r="B1108" s="2" t="s">
        <v>92</v>
      </c>
      <c r="C1108" s="2" t="s">
        <v>93</v>
      </c>
      <c r="D1108" s="2">
        <v>2</v>
      </c>
      <c r="E1108" s="2">
        <v>664</v>
      </c>
      <c r="F1108" s="2">
        <v>123</v>
      </c>
      <c r="G1108" s="2">
        <v>205246</v>
      </c>
      <c r="H1108" s="2">
        <v>5</v>
      </c>
      <c r="I1108" s="2" t="s">
        <v>81</v>
      </c>
      <c r="J1108" s="3">
        <v>0.185240963855422</v>
      </c>
      <c r="K1108" s="21">
        <v>1668.66666666667</v>
      </c>
      <c r="L1108" s="21">
        <v>41049.2</v>
      </c>
      <c r="M1108" s="21">
        <v>132.8</v>
      </c>
      <c r="N1108" s="2" t="s">
        <v>80</v>
      </c>
    </row>
    <row r="1109" s="2" customFormat="1" spans="1:14">
      <c r="A1109" s="20">
        <v>45775</v>
      </c>
      <c r="B1109" s="2" t="s">
        <v>92</v>
      </c>
      <c r="C1109" s="2" t="s">
        <v>93</v>
      </c>
      <c r="D1109" s="2">
        <v>2</v>
      </c>
      <c r="E1109" s="2">
        <v>581</v>
      </c>
      <c r="F1109" s="2">
        <v>128</v>
      </c>
      <c r="G1109" s="2">
        <v>203443</v>
      </c>
      <c r="H1109" s="2">
        <v>9</v>
      </c>
      <c r="I1109" s="2" t="s">
        <v>78</v>
      </c>
      <c r="J1109" s="3">
        <v>0.220309810671256</v>
      </c>
      <c r="K1109" s="21">
        <v>1589.3984375</v>
      </c>
      <c r="L1109" s="21">
        <v>22604.7777777778</v>
      </c>
      <c r="M1109" s="21">
        <v>64.5555555555556</v>
      </c>
      <c r="N1109" s="2" t="s">
        <v>79</v>
      </c>
    </row>
    <row r="1110" s="2" customFormat="1" spans="1:14">
      <c r="A1110" s="20">
        <v>45776</v>
      </c>
      <c r="B1110" s="2" t="s">
        <v>92</v>
      </c>
      <c r="C1110" s="2" t="s">
        <v>93</v>
      </c>
      <c r="D1110" s="2">
        <v>2</v>
      </c>
      <c r="E1110" s="2">
        <v>559</v>
      </c>
      <c r="F1110" s="2">
        <v>125</v>
      </c>
      <c r="G1110" s="2">
        <v>162635</v>
      </c>
      <c r="H1110" s="2">
        <v>7</v>
      </c>
      <c r="I1110" s="2" t="s">
        <v>78</v>
      </c>
      <c r="J1110" s="3">
        <v>0.223613595706619</v>
      </c>
      <c r="K1110" s="21">
        <v>1301.08</v>
      </c>
      <c r="L1110" s="21">
        <v>23233.5714285714</v>
      </c>
      <c r="M1110" s="21">
        <v>79.8571428571429</v>
      </c>
      <c r="N1110" s="2" t="s">
        <v>79</v>
      </c>
    </row>
    <row r="1111" s="2" customFormat="1" spans="1:14">
      <c r="A1111" s="20">
        <v>45777</v>
      </c>
      <c r="B1111" s="2" t="s">
        <v>92</v>
      </c>
      <c r="C1111" s="2" t="s">
        <v>93</v>
      </c>
      <c r="D1111" s="2">
        <v>2</v>
      </c>
      <c r="E1111" s="2">
        <v>639</v>
      </c>
      <c r="F1111" s="2">
        <v>123</v>
      </c>
      <c r="G1111" s="2">
        <v>158713</v>
      </c>
      <c r="H1111" s="2">
        <v>8</v>
      </c>
      <c r="I1111" s="2" t="s">
        <v>78</v>
      </c>
      <c r="J1111" s="3">
        <v>0.192488262910798</v>
      </c>
      <c r="K1111" s="21">
        <v>1290.34959349594</v>
      </c>
      <c r="L1111" s="21">
        <v>19839.125</v>
      </c>
      <c r="M1111" s="21">
        <v>79.875</v>
      </c>
      <c r="N1111" s="2" t="s">
        <v>79</v>
      </c>
    </row>
    <row r="1112" s="2" customFormat="1" spans="1:14">
      <c r="A1112" s="20">
        <v>45778</v>
      </c>
      <c r="B1112" s="2" t="s">
        <v>92</v>
      </c>
      <c r="C1112" s="2" t="s">
        <v>93</v>
      </c>
      <c r="D1112" s="2">
        <v>2</v>
      </c>
      <c r="E1112" s="2">
        <v>627</v>
      </c>
      <c r="F1112" s="2">
        <v>147</v>
      </c>
      <c r="G1112" s="2">
        <v>191856</v>
      </c>
      <c r="H1112" s="2">
        <v>8</v>
      </c>
      <c r="I1112" s="2" t="s">
        <v>78</v>
      </c>
      <c r="J1112" s="3">
        <v>0.23444976076555</v>
      </c>
      <c r="K1112" s="21">
        <v>1305.14285714286</v>
      </c>
      <c r="L1112" s="21">
        <v>23982</v>
      </c>
      <c r="M1112" s="21">
        <v>78.375</v>
      </c>
      <c r="N1112" s="2" t="s">
        <v>79</v>
      </c>
    </row>
    <row r="1113" s="2" customFormat="1" spans="1:14">
      <c r="A1113" s="20">
        <v>45779</v>
      </c>
      <c r="B1113" s="2" t="s">
        <v>92</v>
      </c>
      <c r="C1113" s="2" t="s">
        <v>93</v>
      </c>
      <c r="D1113" s="2">
        <v>2</v>
      </c>
      <c r="E1113" s="2">
        <v>571</v>
      </c>
      <c r="F1113" s="2">
        <v>114</v>
      </c>
      <c r="G1113" s="2">
        <v>144729</v>
      </c>
      <c r="H1113" s="2">
        <v>7</v>
      </c>
      <c r="I1113" s="2" t="s">
        <v>78</v>
      </c>
      <c r="J1113" s="3">
        <v>0.199649737302977</v>
      </c>
      <c r="K1113" s="21">
        <v>1269.55263157895</v>
      </c>
      <c r="L1113" s="21">
        <v>20675.5714285714</v>
      </c>
      <c r="M1113" s="21">
        <v>81.5714285714286</v>
      </c>
      <c r="N1113" s="2" t="s">
        <v>79</v>
      </c>
    </row>
    <row r="1114" s="2" customFormat="1" spans="1:14">
      <c r="A1114" s="20">
        <v>45780</v>
      </c>
      <c r="B1114" s="2" t="s">
        <v>92</v>
      </c>
      <c r="C1114" s="2" t="s">
        <v>93</v>
      </c>
      <c r="D1114" s="2">
        <v>2</v>
      </c>
      <c r="E1114" s="2">
        <v>908</v>
      </c>
      <c r="F1114" s="2">
        <v>191</v>
      </c>
      <c r="G1114" s="2">
        <v>291662</v>
      </c>
      <c r="H1114" s="2">
        <v>9</v>
      </c>
      <c r="I1114" s="2" t="s">
        <v>78</v>
      </c>
      <c r="J1114" s="3">
        <v>0.210352422907489</v>
      </c>
      <c r="K1114" s="21">
        <v>1527.02617801047</v>
      </c>
      <c r="L1114" s="21">
        <v>32406.8888888889</v>
      </c>
      <c r="M1114" s="21">
        <v>100.888888888889</v>
      </c>
      <c r="N1114" s="2" t="s">
        <v>80</v>
      </c>
    </row>
    <row r="1115" s="2" customFormat="1" spans="1:14">
      <c r="A1115" s="20">
        <v>45781</v>
      </c>
      <c r="B1115" s="2" t="s">
        <v>92</v>
      </c>
      <c r="C1115" s="2" t="s">
        <v>93</v>
      </c>
      <c r="D1115" s="2">
        <v>2</v>
      </c>
      <c r="E1115" s="2">
        <v>1025</v>
      </c>
      <c r="F1115" s="2">
        <v>198</v>
      </c>
      <c r="G1115" s="2">
        <v>296368</v>
      </c>
      <c r="H1115" s="2">
        <v>5</v>
      </c>
      <c r="I1115" s="2" t="s">
        <v>78</v>
      </c>
      <c r="J1115" s="3">
        <v>0.193170731707317</v>
      </c>
      <c r="K1115" s="21">
        <v>1496.80808080808</v>
      </c>
      <c r="L1115" s="21">
        <v>59273.6</v>
      </c>
      <c r="M1115" s="21">
        <v>205</v>
      </c>
      <c r="N1115" s="2" t="s">
        <v>80</v>
      </c>
    </row>
    <row r="1116" s="2" customFormat="1" spans="1:14">
      <c r="A1116" s="20">
        <v>45782</v>
      </c>
      <c r="B1116" s="2" t="s">
        <v>92</v>
      </c>
      <c r="C1116" s="2" t="s">
        <v>93</v>
      </c>
      <c r="D1116" s="2">
        <v>2</v>
      </c>
      <c r="E1116" s="2">
        <v>822</v>
      </c>
      <c r="F1116" s="2">
        <v>164</v>
      </c>
      <c r="G1116" s="2">
        <v>261152</v>
      </c>
      <c r="H1116" s="2">
        <v>8</v>
      </c>
      <c r="I1116" s="2" t="s">
        <v>78</v>
      </c>
      <c r="J1116" s="3">
        <v>0.199513381995134</v>
      </c>
      <c r="K1116" s="21">
        <v>1592.39024390244</v>
      </c>
      <c r="L1116" s="21">
        <v>32644</v>
      </c>
      <c r="M1116" s="21">
        <v>102.75</v>
      </c>
      <c r="N1116" s="2" t="s">
        <v>79</v>
      </c>
    </row>
    <row r="1117" s="2" customFormat="1" spans="1:14">
      <c r="A1117" s="20">
        <v>45783</v>
      </c>
      <c r="B1117" s="2" t="s">
        <v>92</v>
      </c>
      <c r="C1117" s="2" t="s">
        <v>93</v>
      </c>
      <c r="D1117" s="2">
        <v>2</v>
      </c>
      <c r="E1117" s="2">
        <v>620</v>
      </c>
      <c r="F1117" s="2">
        <v>123</v>
      </c>
      <c r="G1117" s="2">
        <v>139024</v>
      </c>
      <c r="H1117" s="2">
        <v>8</v>
      </c>
      <c r="I1117" s="2" t="s">
        <v>78</v>
      </c>
      <c r="J1117" s="3">
        <v>0.198387096774194</v>
      </c>
      <c r="K1117" s="21">
        <v>1130.27642276423</v>
      </c>
      <c r="L1117" s="21">
        <v>17378</v>
      </c>
      <c r="M1117" s="21">
        <v>77.5</v>
      </c>
      <c r="N1117" s="2" t="s">
        <v>79</v>
      </c>
    </row>
    <row r="1118" s="2" customFormat="1" spans="1:14">
      <c r="A1118" s="20">
        <v>45784</v>
      </c>
      <c r="B1118" s="2" t="s">
        <v>92</v>
      </c>
      <c r="C1118" s="2" t="s">
        <v>93</v>
      </c>
      <c r="D1118" s="2">
        <v>2</v>
      </c>
      <c r="E1118" s="2">
        <v>540</v>
      </c>
      <c r="F1118" s="2">
        <v>109</v>
      </c>
      <c r="G1118" s="2">
        <v>152411</v>
      </c>
      <c r="H1118" s="2">
        <v>9</v>
      </c>
      <c r="I1118" s="2" t="s">
        <v>78</v>
      </c>
      <c r="J1118" s="3">
        <v>0.201851851851852</v>
      </c>
      <c r="K1118" s="21">
        <v>1398.26605504587</v>
      </c>
      <c r="L1118" s="21">
        <v>16934.5555555556</v>
      </c>
      <c r="M1118" s="21">
        <v>60</v>
      </c>
      <c r="N1118" s="2" t="s">
        <v>79</v>
      </c>
    </row>
    <row r="1119" s="2" customFormat="1" spans="1:14">
      <c r="A1119" s="20">
        <v>45785</v>
      </c>
      <c r="B1119" s="2" t="s">
        <v>92</v>
      </c>
      <c r="C1119" s="2" t="s">
        <v>93</v>
      </c>
      <c r="D1119" s="2">
        <v>2</v>
      </c>
      <c r="E1119" s="2">
        <v>636</v>
      </c>
      <c r="F1119" s="2">
        <v>135</v>
      </c>
      <c r="G1119" s="2">
        <v>160572</v>
      </c>
      <c r="H1119" s="2">
        <v>5</v>
      </c>
      <c r="I1119" s="2" t="s">
        <v>78</v>
      </c>
      <c r="J1119" s="3">
        <v>0.212264150943396</v>
      </c>
      <c r="K1119" s="21">
        <v>1189.42222222222</v>
      </c>
      <c r="L1119" s="21">
        <v>32114.4</v>
      </c>
      <c r="M1119" s="21">
        <v>127.2</v>
      </c>
      <c r="N1119" s="2" t="s">
        <v>79</v>
      </c>
    </row>
    <row r="1120" s="2" customFormat="1" spans="1:14">
      <c r="A1120" s="20">
        <v>45786</v>
      </c>
      <c r="B1120" s="2" t="s">
        <v>92</v>
      </c>
      <c r="C1120" s="2" t="s">
        <v>93</v>
      </c>
      <c r="D1120" s="2">
        <v>2</v>
      </c>
      <c r="E1120" s="2">
        <v>604</v>
      </c>
      <c r="F1120" s="2">
        <v>128</v>
      </c>
      <c r="G1120" s="2">
        <v>186079</v>
      </c>
      <c r="H1120" s="2">
        <v>6</v>
      </c>
      <c r="I1120" s="2" t="s">
        <v>78</v>
      </c>
      <c r="J1120" s="3">
        <v>0.211920529801325</v>
      </c>
      <c r="K1120" s="21">
        <v>1453.7421875</v>
      </c>
      <c r="L1120" s="21">
        <v>31013.1666666667</v>
      </c>
      <c r="M1120" s="21">
        <v>100.666666666667</v>
      </c>
      <c r="N1120" s="2" t="s">
        <v>79</v>
      </c>
    </row>
    <row r="1121" s="2" customFormat="1" spans="1:14">
      <c r="A1121" s="20">
        <v>45787</v>
      </c>
      <c r="B1121" s="2" t="s">
        <v>92</v>
      </c>
      <c r="C1121" s="2" t="s">
        <v>93</v>
      </c>
      <c r="D1121" s="2">
        <v>2</v>
      </c>
      <c r="E1121" s="2">
        <v>795</v>
      </c>
      <c r="F1121" s="2">
        <v>164</v>
      </c>
      <c r="G1121" s="2">
        <v>197248</v>
      </c>
      <c r="H1121" s="2">
        <v>8</v>
      </c>
      <c r="I1121" s="2" t="s">
        <v>81</v>
      </c>
      <c r="J1121" s="3">
        <v>0.206289308176101</v>
      </c>
      <c r="K1121" s="21">
        <v>1202.73170731707</v>
      </c>
      <c r="L1121" s="21">
        <v>24656</v>
      </c>
      <c r="M1121" s="21">
        <v>99.375</v>
      </c>
      <c r="N1121" s="2" t="s">
        <v>80</v>
      </c>
    </row>
    <row r="1122" s="2" customFormat="1" spans="1:14">
      <c r="A1122" s="20">
        <v>45788</v>
      </c>
      <c r="B1122" s="2" t="s">
        <v>92</v>
      </c>
      <c r="C1122" s="2" t="s">
        <v>93</v>
      </c>
      <c r="D1122" s="2">
        <v>2</v>
      </c>
      <c r="E1122" s="2">
        <v>1126</v>
      </c>
      <c r="F1122" s="2">
        <v>247</v>
      </c>
      <c r="G1122" s="2">
        <v>378611</v>
      </c>
      <c r="H1122" s="2">
        <v>9</v>
      </c>
      <c r="I1122" s="2" t="s">
        <v>78</v>
      </c>
      <c r="J1122" s="3">
        <v>0.219360568383659</v>
      </c>
      <c r="K1122" s="21">
        <v>1532.83805668016</v>
      </c>
      <c r="L1122" s="21">
        <v>42067.8888888889</v>
      </c>
      <c r="M1122" s="21">
        <v>125.111111111111</v>
      </c>
      <c r="N1122" s="2" t="s">
        <v>80</v>
      </c>
    </row>
    <row r="1123" s="2" customFormat="1" spans="1:14">
      <c r="A1123" s="20">
        <v>45789</v>
      </c>
      <c r="B1123" s="2" t="s">
        <v>92</v>
      </c>
      <c r="C1123" s="2" t="s">
        <v>93</v>
      </c>
      <c r="D1123" s="2">
        <v>2</v>
      </c>
      <c r="E1123" s="2">
        <v>627</v>
      </c>
      <c r="F1123" s="2">
        <v>132</v>
      </c>
      <c r="G1123" s="2">
        <v>198868</v>
      </c>
      <c r="H1123" s="2">
        <v>8</v>
      </c>
      <c r="I1123" s="2" t="s">
        <v>78</v>
      </c>
      <c r="J1123" s="3">
        <v>0.210526315789474</v>
      </c>
      <c r="K1123" s="21">
        <v>1506.57575757576</v>
      </c>
      <c r="L1123" s="21">
        <v>24858.5</v>
      </c>
      <c r="M1123" s="21">
        <v>78.375</v>
      </c>
      <c r="N1123" s="2" t="s">
        <v>79</v>
      </c>
    </row>
    <row r="1124" s="2" customFormat="1" spans="1:14">
      <c r="A1124" s="20">
        <v>45790</v>
      </c>
      <c r="B1124" s="2" t="s">
        <v>92</v>
      </c>
      <c r="C1124" s="2" t="s">
        <v>93</v>
      </c>
      <c r="D1124" s="2">
        <v>2</v>
      </c>
      <c r="E1124" s="2">
        <v>532</v>
      </c>
      <c r="F1124" s="2">
        <v>114</v>
      </c>
      <c r="G1124" s="2">
        <v>136522</v>
      </c>
      <c r="H1124" s="2">
        <v>6</v>
      </c>
      <c r="I1124" s="2" t="s">
        <v>78</v>
      </c>
      <c r="J1124" s="3">
        <v>0.214285714285714</v>
      </c>
      <c r="K1124" s="21">
        <v>1197.56140350877</v>
      </c>
      <c r="L1124" s="21">
        <v>22753.6666666667</v>
      </c>
      <c r="M1124" s="21">
        <v>88.6666666666667</v>
      </c>
      <c r="N1124" s="2" t="s">
        <v>79</v>
      </c>
    </row>
    <row r="1125" s="2" customFormat="1" spans="1:14">
      <c r="A1125" s="20">
        <v>45791</v>
      </c>
      <c r="B1125" s="2" t="s">
        <v>92</v>
      </c>
      <c r="C1125" s="2" t="s">
        <v>93</v>
      </c>
      <c r="D1125" s="2">
        <v>2</v>
      </c>
      <c r="E1125" s="2">
        <v>636</v>
      </c>
      <c r="F1125" s="2">
        <v>117</v>
      </c>
      <c r="G1125" s="2">
        <v>183513</v>
      </c>
      <c r="H1125" s="2">
        <v>5</v>
      </c>
      <c r="I1125" s="2" t="s">
        <v>78</v>
      </c>
      <c r="J1125" s="3">
        <v>0.183962264150943</v>
      </c>
      <c r="K1125" s="21">
        <v>1568.48717948718</v>
      </c>
      <c r="L1125" s="21">
        <v>36702.6</v>
      </c>
      <c r="M1125" s="21">
        <v>127.2</v>
      </c>
      <c r="N1125" s="2" t="s">
        <v>79</v>
      </c>
    </row>
    <row r="1126" s="2" customFormat="1" spans="1:14">
      <c r="A1126" s="20">
        <v>45792</v>
      </c>
      <c r="B1126" s="2" t="s">
        <v>92</v>
      </c>
      <c r="C1126" s="2" t="s">
        <v>93</v>
      </c>
      <c r="D1126" s="2">
        <v>2</v>
      </c>
      <c r="E1126" s="2">
        <v>567</v>
      </c>
      <c r="F1126" s="2">
        <v>111</v>
      </c>
      <c r="G1126" s="2">
        <v>142418</v>
      </c>
      <c r="H1126" s="2">
        <v>6</v>
      </c>
      <c r="I1126" s="2" t="s">
        <v>78</v>
      </c>
      <c r="J1126" s="3">
        <v>0.195767195767196</v>
      </c>
      <c r="K1126" s="21">
        <v>1283.04504504505</v>
      </c>
      <c r="L1126" s="21">
        <v>23736.3333333333</v>
      </c>
      <c r="M1126" s="21">
        <v>94.5</v>
      </c>
      <c r="N1126" s="2" t="s">
        <v>79</v>
      </c>
    </row>
    <row r="1127" s="2" customFormat="1" spans="1:14">
      <c r="A1127" s="20">
        <v>45793</v>
      </c>
      <c r="B1127" s="2" t="s">
        <v>92</v>
      </c>
      <c r="C1127" s="2" t="s">
        <v>93</v>
      </c>
      <c r="D1127" s="2">
        <v>2</v>
      </c>
      <c r="E1127" s="2">
        <v>695</v>
      </c>
      <c r="F1127" s="2">
        <v>160</v>
      </c>
      <c r="G1127" s="2">
        <v>215500</v>
      </c>
      <c r="H1127" s="2">
        <v>7</v>
      </c>
      <c r="I1127" s="2" t="s">
        <v>78</v>
      </c>
      <c r="J1127" s="3">
        <v>0.23021582733813</v>
      </c>
      <c r="K1127" s="21">
        <v>1346.875</v>
      </c>
      <c r="L1127" s="21">
        <v>30785.7142857143</v>
      </c>
      <c r="M1127" s="21">
        <v>99.2857142857143</v>
      </c>
      <c r="N1127" s="2" t="s">
        <v>79</v>
      </c>
    </row>
    <row r="1128" s="2" customFormat="1" spans="1:14">
      <c r="A1128" s="20">
        <v>45794</v>
      </c>
      <c r="B1128" s="2" t="s">
        <v>92</v>
      </c>
      <c r="C1128" s="2" t="s">
        <v>93</v>
      </c>
      <c r="D1128" s="2">
        <v>2</v>
      </c>
      <c r="E1128" s="2">
        <v>831</v>
      </c>
      <c r="F1128" s="2">
        <v>167</v>
      </c>
      <c r="G1128" s="2">
        <v>271338</v>
      </c>
      <c r="H1128" s="2">
        <v>8</v>
      </c>
      <c r="I1128" s="2" t="s">
        <v>78</v>
      </c>
      <c r="J1128" s="3">
        <v>0.200962695547533</v>
      </c>
      <c r="K1128" s="21">
        <v>1624.77844311377</v>
      </c>
      <c r="L1128" s="21">
        <v>33917.25</v>
      </c>
      <c r="M1128" s="21">
        <v>103.875</v>
      </c>
      <c r="N1128" s="2" t="s">
        <v>80</v>
      </c>
    </row>
    <row r="1129" s="2" customFormat="1" spans="1:14">
      <c r="A1129" s="20">
        <v>45795</v>
      </c>
      <c r="B1129" s="2" t="s">
        <v>92</v>
      </c>
      <c r="C1129" s="2" t="s">
        <v>93</v>
      </c>
      <c r="D1129" s="2">
        <v>2</v>
      </c>
      <c r="E1129" s="2">
        <v>827</v>
      </c>
      <c r="F1129" s="2">
        <v>179</v>
      </c>
      <c r="G1129" s="2">
        <v>197205</v>
      </c>
      <c r="H1129" s="2">
        <v>8</v>
      </c>
      <c r="I1129" s="2" t="s">
        <v>78</v>
      </c>
      <c r="J1129" s="3">
        <v>0.216444981862152</v>
      </c>
      <c r="K1129" s="21">
        <v>1101.70391061453</v>
      </c>
      <c r="L1129" s="21">
        <v>24650.625</v>
      </c>
      <c r="M1129" s="21">
        <v>103.375</v>
      </c>
      <c r="N1129" s="2" t="s">
        <v>80</v>
      </c>
    </row>
    <row r="1130" s="2" customFormat="1" spans="1:14">
      <c r="A1130" s="20">
        <v>45796</v>
      </c>
      <c r="B1130" s="2" t="s">
        <v>92</v>
      </c>
      <c r="C1130" s="2" t="s">
        <v>93</v>
      </c>
      <c r="D1130" s="2">
        <v>2</v>
      </c>
      <c r="E1130" s="2">
        <v>611</v>
      </c>
      <c r="F1130" s="2">
        <v>115</v>
      </c>
      <c r="G1130" s="2">
        <v>190591</v>
      </c>
      <c r="H1130" s="2">
        <v>6</v>
      </c>
      <c r="I1130" s="2" t="s">
        <v>78</v>
      </c>
      <c r="J1130" s="3">
        <v>0.188216039279869</v>
      </c>
      <c r="K1130" s="21">
        <v>1657.31304347826</v>
      </c>
      <c r="L1130" s="21">
        <v>31765.1666666667</v>
      </c>
      <c r="M1130" s="21">
        <v>101.833333333333</v>
      </c>
      <c r="N1130" s="2" t="s">
        <v>79</v>
      </c>
    </row>
    <row r="1131" s="2" customFormat="1" spans="1:14">
      <c r="A1131" s="20">
        <v>45797</v>
      </c>
      <c r="B1131" s="2" t="s">
        <v>92</v>
      </c>
      <c r="C1131" s="2" t="s">
        <v>93</v>
      </c>
      <c r="D1131" s="2">
        <v>2</v>
      </c>
      <c r="E1131" s="2">
        <v>585</v>
      </c>
      <c r="F1131" s="2">
        <v>116</v>
      </c>
      <c r="G1131" s="2">
        <v>142324</v>
      </c>
      <c r="H1131" s="2">
        <v>6</v>
      </c>
      <c r="I1131" s="2" t="s">
        <v>78</v>
      </c>
      <c r="J1131" s="3">
        <v>0.198290598290598</v>
      </c>
      <c r="K1131" s="21">
        <v>1226.93103448276</v>
      </c>
      <c r="L1131" s="21">
        <v>23720.6666666667</v>
      </c>
      <c r="M1131" s="21">
        <v>97.5</v>
      </c>
      <c r="N1131" s="2" t="s">
        <v>79</v>
      </c>
    </row>
    <row r="1132" s="2" customFormat="1" spans="1:14">
      <c r="A1132" s="20">
        <v>45798</v>
      </c>
      <c r="B1132" s="2" t="s">
        <v>92</v>
      </c>
      <c r="C1132" s="2" t="s">
        <v>93</v>
      </c>
      <c r="D1132" s="2">
        <v>2</v>
      </c>
      <c r="E1132" s="2">
        <v>516</v>
      </c>
      <c r="F1132" s="2">
        <v>102</v>
      </c>
      <c r="G1132" s="2">
        <v>129025</v>
      </c>
      <c r="H1132" s="2">
        <v>7</v>
      </c>
      <c r="I1132" s="2" t="s">
        <v>78</v>
      </c>
      <c r="J1132" s="3">
        <v>0.197674418604651</v>
      </c>
      <c r="K1132" s="21">
        <v>1264.95098039216</v>
      </c>
      <c r="L1132" s="21">
        <v>18432.1428571429</v>
      </c>
      <c r="M1132" s="21">
        <v>73.7142857142857</v>
      </c>
      <c r="N1132" s="2" t="s">
        <v>79</v>
      </c>
    </row>
    <row r="1133" s="2" customFormat="1" spans="1:14">
      <c r="A1133" s="20">
        <v>45799</v>
      </c>
      <c r="B1133" s="2" t="s">
        <v>92</v>
      </c>
      <c r="C1133" s="2" t="s">
        <v>93</v>
      </c>
      <c r="D1133" s="2">
        <v>2</v>
      </c>
      <c r="E1133" s="2">
        <v>593</v>
      </c>
      <c r="F1133" s="2">
        <v>125</v>
      </c>
      <c r="G1133" s="2">
        <v>199946</v>
      </c>
      <c r="H1133" s="2">
        <v>6</v>
      </c>
      <c r="I1133" s="2" t="s">
        <v>78</v>
      </c>
      <c r="J1133" s="3">
        <v>0.21079258010118</v>
      </c>
      <c r="K1133" s="21">
        <v>1599.568</v>
      </c>
      <c r="L1133" s="21">
        <v>33324.3333333333</v>
      </c>
      <c r="M1133" s="21">
        <v>98.8333333333333</v>
      </c>
      <c r="N1133" s="2" t="s">
        <v>79</v>
      </c>
    </row>
    <row r="1134" s="2" customFormat="1" spans="1:14">
      <c r="A1134" s="20">
        <v>45800</v>
      </c>
      <c r="B1134" s="2" t="s">
        <v>92</v>
      </c>
      <c r="C1134" s="2" t="s">
        <v>93</v>
      </c>
      <c r="D1134" s="2">
        <v>2</v>
      </c>
      <c r="E1134" s="2">
        <v>642</v>
      </c>
      <c r="F1134" s="2">
        <v>121</v>
      </c>
      <c r="G1134" s="2">
        <v>169423</v>
      </c>
      <c r="H1134" s="2">
        <v>4</v>
      </c>
      <c r="I1134" s="2" t="s">
        <v>78</v>
      </c>
      <c r="J1134" s="3">
        <v>0.188473520249221</v>
      </c>
      <c r="K1134" s="21">
        <v>1400.19008264463</v>
      </c>
      <c r="L1134" s="21">
        <v>42355.75</v>
      </c>
      <c r="M1134" s="21">
        <v>160.5</v>
      </c>
      <c r="N1134" s="2" t="s">
        <v>79</v>
      </c>
    </row>
    <row r="1135" s="2" customFormat="1" spans="1:14">
      <c r="A1135" s="20">
        <v>45801</v>
      </c>
      <c r="B1135" s="2" t="s">
        <v>92</v>
      </c>
      <c r="C1135" s="2" t="s">
        <v>93</v>
      </c>
      <c r="D1135" s="2">
        <v>2</v>
      </c>
      <c r="E1135" s="2">
        <v>857</v>
      </c>
      <c r="F1135" s="2">
        <v>196</v>
      </c>
      <c r="G1135" s="2">
        <v>285845</v>
      </c>
      <c r="H1135" s="2">
        <v>9</v>
      </c>
      <c r="I1135" s="2" t="s">
        <v>78</v>
      </c>
      <c r="J1135" s="3">
        <v>0.228704784130689</v>
      </c>
      <c r="K1135" s="21">
        <v>1458.39285714286</v>
      </c>
      <c r="L1135" s="21">
        <v>31760.5555555556</v>
      </c>
      <c r="M1135" s="21">
        <v>95.2222222222222</v>
      </c>
      <c r="N1135" s="2" t="s">
        <v>80</v>
      </c>
    </row>
    <row r="1136" s="2" customFormat="1" spans="1:14">
      <c r="A1136" s="20">
        <v>45802</v>
      </c>
      <c r="B1136" s="2" t="s">
        <v>92</v>
      </c>
      <c r="C1136" s="2" t="s">
        <v>93</v>
      </c>
      <c r="D1136" s="2">
        <v>2</v>
      </c>
      <c r="E1136" s="2">
        <v>877</v>
      </c>
      <c r="F1136" s="2">
        <v>181</v>
      </c>
      <c r="G1136" s="2">
        <v>210232</v>
      </c>
      <c r="H1136" s="2">
        <v>5</v>
      </c>
      <c r="I1136" s="2" t="s">
        <v>78</v>
      </c>
      <c r="J1136" s="3">
        <v>0.206385404789054</v>
      </c>
      <c r="K1136" s="21">
        <v>1161.50276243094</v>
      </c>
      <c r="L1136" s="21">
        <v>42046.4</v>
      </c>
      <c r="M1136" s="21">
        <v>175.4</v>
      </c>
      <c r="N1136" s="2" t="s">
        <v>80</v>
      </c>
    </row>
    <row r="1137" s="2" customFormat="1" spans="1:14">
      <c r="A1137" s="20">
        <v>45803</v>
      </c>
      <c r="B1137" s="2" t="s">
        <v>92</v>
      </c>
      <c r="C1137" s="2" t="s">
        <v>93</v>
      </c>
      <c r="D1137" s="2">
        <v>2</v>
      </c>
      <c r="E1137" s="2">
        <v>674</v>
      </c>
      <c r="F1137" s="2">
        <v>133</v>
      </c>
      <c r="G1137" s="2">
        <v>148044</v>
      </c>
      <c r="H1137" s="2">
        <v>6</v>
      </c>
      <c r="I1137" s="2" t="s">
        <v>78</v>
      </c>
      <c r="J1137" s="3">
        <v>0.197329376854599</v>
      </c>
      <c r="K1137" s="21">
        <v>1113.11278195489</v>
      </c>
      <c r="L1137" s="21">
        <v>24674</v>
      </c>
      <c r="M1137" s="21">
        <v>112.333333333333</v>
      </c>
      <c r="N1137" s="2" t="s">
        <v>79</v>
      </c>
    </row>
    <row r="1138" s="2" customFormat="1" spans="1:14">
      <c r="A1138" s="20">
        <v>45804</v>
      </c>
      <c r="B1138" s="2" t="s">
        <v>92</v>
      </c>
      <c r="C1138" s="2" t="s">
        <v>93</v>
      </c>
      <c r="D1138" s="2">
        <v>2</v>
      </c>
      <c r="E1138" s="2">
        <v>623</v>
      </c>
      <c r="F1138" s="2">
        <v>130</v>
      </c>
      <c r="G1138" s="2">
        <v>201908</v>
      </c>
      <c r="H1138" s="2">
        <v>6</v>
      </c>
      <c r="I1138" s="2" t="s">
        <v>78</v>
      </c>
      <c r="J1138" s="3">
        <v>0.208667736757624</v>
      </c>
      <c r="K1138" s="21">
        <v>1553.13846153846</v>
      </c>
      <c r="L1138" s="21">
        <v>33651.3333333333</v>
      </c>
      <c r="M1138" s="21">
        <v>103.833333333333</v>
      </c>
      <c r="N1138" s="2" t="s">
        <v>79</v>
      </c>
    </row>
    <row r="1139" s="2" customFormat="1" spans="1:14">
      <c r="A1139" s="20">
        <v>45805</v>
      </c>
      <c r="B1139" s="2" t="s">
        <v>92</v>
      </c>
      <c r="C1139" s="2" t="s">
        <v>93</v>
      </c>
      <c r="D1139" s="2">
        <v>2</v>
      </c>
      <c r="E1139" s="2">
        <v>575</v>
      </c>
      <c r="F1139" s="2">
        <v>118</v>
      </c>
      <c r="G1139" s="2">
        <v>190348</v>
      </c>
      <c r="H1139" s="2">
        <v>4</v>
      </c>
      <c r="I1139" s="2" t="s">
        <v>78</v>
      </c>
      <c r="J1139" s="3">
        <v>0.205217391304348</v>
      </c>
      <c r="K1139" s="21">
        <v>1613.1186440678</v>
      </c>
      <c r="L1139" s="21">
        <v>47587</v>
      </c>
      <c r="M1139" s="21">
        <v>143.75</v>
      </c>
      <c r="N1139" s="2" t="s">
        <v>79</v>
      </c>
    </row>
    <row r="1140" s="2" customFormat="1" spans="1:14">
      <c r="A1140" s="20">
        <v>45806</v>
      </c>
      <c r="B1140" s="2" t="s">
        <v>92</v>
      </c>
      <c r="C1140" s="2" t="s">
        <v>93</v>
      </c>
      <c r="D1140" s="2">
        <v>2</v>
      </c>
      <c r="E1140" s="2">
        <v>682</v>
      </c>
      <c r="F1140" s="2">
        <v>157</v>
      </c>
      <c r="G1140" s="2">
        <v>256161</v>
      </c>
      <c r="H1140" s="2">
        <v>7</v>
      </c>
      <c r="I1140" s="2" t="s">
        <v>78</v>
      </c>
      <c r="J1140" s="3">
        <v>0.230205278592375</v>
      </c>
      <c r="K1140" s="21">
        <v>1631.59872611465</v>
      </c>
      <c r="L1140" s="21">
        <v>36594.4285714286</v>
      </c>
      <c r="M1140" s="21">
        <v>97.4285714285714</v>
      </c>
      <c r="N1140" s="2" t="s">
        <v>79</v>
      </c>
    </row>
    <row r="1141" s="2" customFormat="1" spans="1:14">
      <c r="A1141" s="20">
        <v>45807</v>
      </c>
      <c r="B1141" s="2" t="s">
        <v>92</v>
      </c>
      <c r="C1141" s="2" t="s">
        <v>93</v>
      </c>
      <c r="D1141" s="2">
        <v>2</v>
      </c>
      <c r="E1141" s="2">
        <v>600</v>
      </c>
      <c r="F1141" s="2">
        <v>134</v>
      </c>
      <c r="G1141" s="2">
        <v>226205</v>
      </c>
      <c r="H1141" s="2">
        <v>7</v>
      </c>
      <c r="I1141" s="2" t="s">
        <v>78</v>
      </c>
      <c r="J1141" s="3">
        <v>0.223333333333333</v>
      </c>
      <c r="K1141" s="21">
        <v>1688.09701492537</v>
      </c>
      <c r="L1141" s="21">
        <v>32315</v>
      </c>
      <c r="M1141" s="21">
        <v>85.7142857142857</v>
      </c>
      <c r="N1141" s="2" t="s">
        <v>79</v>
      </c>
    </row>
    <row r="1142" s="2" customFormat="1" spans="1:14">
      <c r="A1142" s="20">
        <v>45808</v>
      </c>
      <c r="B1142" s="2" t="s">
        <v>92</v>
      </c>
      <c r="C1142" s="2" t="s">
        <v>93</v>
      </c>
      <c r="D1142" s="2">
        <v>2</v>
      </c>
      <c r="E1142" s="2">
        <v>975</v>
      </c>
      <c r="F1142" s="2">
        <v>188</v>
      </c>
      <c r="G1142" s="2">
        <v>318843</v>
      </c>
      <c r="H1142" s="2">
        <v>7</v>
      </c>
      <c r="I1142" s="2" t="s">
        <v>81</v>
      </c>
      <c r="J1142" s="3">
        <v>0.192820512820513</v>
      </c>
      <c r="K1142" s="21">
        <v>1695.97340425532</v>
      </c>
      <c r="L1142" s="21">
        <v>45549</v>
      </c>
      <c r="M1142" s="21">
        <v>139.285714285714</v>
      </c>
      <c r="N1142" s="2" t="s">
        <v>80</v>
      </c>
    </row>
    <row r="1143" s="2" customFormat="1" spans="1:14">
      <c r="A1143" s="20">
        <v>45809</v>
      </c>
      <c r="B1143" s="2" t="s">
        <v>92</v>
      </c>
      <c r="C1143" s="2" t="s">
        <v>93</v>
      </c>
      <c r="D1143" s="2">
        <v>2</v>
      </c>
      <c r="E1143" s="2">
        <v>996</v>
      </c>
      <c r="F1143" s="2">
        <v>192</v>
      </c>
      <c r="G1143" s="2">
        <v>290754</v>
      </c>
      <c r="H1143" s="2">
        <v>5</v>
      </c>
      <c r="I1143" s="2" t="s">
        <v>78</v>
      </c>
      <c r="J1143" s="3">
        <v>0.192771084337349</v>
      </c>
      <c r="K1143" s="21">
        <v>1514.34375</v>
      </c>
      <c r="L1143" s="21">
        <v>58150.8</v>
      </c>
      <c r="M1143" s="21">
        <v>199.2</v>
      </c>
      <c r="N1143" s="2" t="s">
        <v>80</v>
      </c>
    </row>
    <row r="1144" s="2" customFormat="1" spans="1:14">
      <c r="A1144" s="20">
        <v>45810</v>
      </c>
      <c r="B1144" s="2" t="s">
        <v>92</v>
      </c>
      <c r="C1144" s="2" t="s">
        <v>93</v>
      </c>
      <c r="D1144" s="2">
        <v>2</v>
      </c>
      <c r="E1144" s="2">
        <v>565</v>
      </c>
      <c r="F1144" s="2">
        <v>135</v>
      </c>
      <c r="G1144" s="2">
        <v>150922</v>
      </c>
      <c r="H1144" s="2">
        <v>9</v>
      </c>
      <c r="I1144" s="2" t="s">
        <v>78</v>
      </c>
      <c r="J1144" s="3">
        <v>0.238938053097345</v>
      </c>
      <c r="K1144" s="21">
        <v>1117.94074074074</v>
      </c>
      <c r="L1144" s="21">
        <v>16769.1111111111</v>
      </c>
      <c r="M1144" s="21">
        <v>62.7777777777778</v>
      </c>
      <c r="N1144" s="2" t="s">
        <v>79</v>
      </c>
    </row>
    <row r="1145" s="2" customFormat="1" spans="1:14">
      <c r="A1145" s="20">
        <v>45811</v>
      </c>
      <c r="B1145" s="2" t="s">
        <v>92</v>
      </c>
      <c r="C1145" s="2" t="s">
        <v>93</v>
      </c>
      <c r="D1145" s="2">
        <v>2</v>
      </c>
      <c r="E1145" s="2">
        <v>596</v>
      </c>
      <c r="F1145" s="2">
        <v>126</v>
      </c>
      <c r="G1145" s="2">
        <v>193225</v>
      </c>
      <c r="H1145" s="2">
        <v>8</v>
      </c>
      <c r="I1145" s="2" t="s">
        <v>78</v>
      </c>
      <c r="J1145" s="3">
        <v>0.211409395973154</v>
      </c>
      <c r="K1145" s="21">
        <v>1533.53174603175</v>
      </c>
      <c r="L1145" s="21">
        <v>24153.125</v>
      </c>
      <c r="M1145" s="21">
        <v>74.5</v>
      </c>
      <c r="N1145" s="2" t="s">
        <v>79</v>
      </c>
    </row>
    <row r="1146" s="2" customFormat="1" spans="1:14">
      <c r="A1146" s="20">
        <v>45812</v>
      </c>
      <c r="B1146" s="2" t="s">
        <v>92</v>
      </c>
      <c r="C1146" s="2" t="s">
        <v>93</v>
      </c>
      <c r="D1146" s="2">
        <v>2</v>
      </c>
      <c r="E1146" s="2">
        <v>602</v>
      </c>
      <c r="F1146" s="2">
        <v>129</v>
      </c>
      <c r="G1146" s="2">
        <v>181670</v>
      </c>
      <c r="H1146" s="2">
        <v>4</v>
      </c>
      <c r="I1146" s="2" t="s">
        <v>78</v>
      </c>
      <c r="J1146" s="3">
        <v>0.214285714285714</v>
      </c>
      <c r="K1146" s="21">
        <v>1408.29457364341</v>
      </c>
      <c r="L1146" s="21">
        <v>45417.5</v>
      </c>
      <c r="M1146" s="21">
        <v>150.5</v>
      </c>
      <c r="N1146" s="2" t="s">
        <v>79</v>
      </c>
    </row>
    <row r="1147" s="2" customFormat="1" spans="1:14">
      <c r="A1147" s="20">
        <v>45813</v>
      </c>
      <c r="B1147" s="2" t="s">
        <v>92</v>
      </c>
      <c r="C1147" s="2" t="s">
        <v>93</v>
      </c>
      <c r="D1147" s="2">
        <v>2</v>
      </c>
      <c r="E1147" s="2">
        <v>616</v>
      </c>
      <c r="F1147" s="2">
        <v>131</v>
      </c>
      <c r="G1147" s="2">
        <v>150591</v>
      </c>
      <c r="H1147" s="2">
        <v>7</v>
      </c>
      <c r="I1147" s="2" t="s">
        <v>78</v>
      </c>
      <c r="J1147" s="3">
        <v>0.212662337662338</v>
      </c>
      <c r="K1147" s="21">
        <v>1149.54961832061</v>
      </c>
      <c r="L1147" s="21">
        <v>21513</v>
      </c>
      <c r="M1147" s="21">
        <v>88</v>
      </c>
      <c r="N1147" s="2" t="s">
        <v>79</v>
      </c>
    </row>
    <row r="1148" s="2" customFormat="1" spans="1:14">
      <c r="A1148" s="20">
        <v>45814</v>
      </c>
      <c r="B1148" s="2" t="s">
        <v>92</v>
      </c>
      <c r="C1148" s="2" t="s">
        <v>93</v>
      </c>
      <c r="D1148" s="2">
        <v>2</v>
      </c>
      <c r="E1148" s="2">
        <v>472</v>
      </c>
      <c r="F1148" s="2">
        <v>93</v>
      </c>
      <c r="G1148" s="2">
        <v>151900</v>
      </c>
      <c r="H1148" s="2">
        <v>4</v>
      </c>
      <c r="I1148" s="2" t="s">
        <v>78</v>
      </c>
      <c r="J1148" s="3">
        <v>0.197033898305085</v>
      </c>
      <c r="K1148" s="21">
        <v>1633.33333333333</v>
      </c>
      <c r="L1148" s="21">
        <v>37975</v>
      </c>
      <c r="M1148" s="21">
        <v>118</v>
      </c>
      <c r="N1148" s="2" t="s">
        <v>79</v>
      </c>
    </row>
    <row r="1149" s="2" customFormat="1" spans="1:14">
      <c r="A1149" s="20">
        <v>45815</v>
      </c>
      <c r="B1149" s="2" t="s">
        <v>92</v>
      </c>
      <c r="C1149" s="2" t="s">
        <v>93</v>
      </c>
      <c r="D1149" s="2">
        <v>2</v>
      </c>
      <c r="E1149" s="2">
        <v>965</v>
      </c>
      <c r="F1149" s="2">
        <v>210</v>
      </c>
      <c r="G1149" s="2">
        <v>248319</v>
      </c>
      <c r="H1149" s="2">
        <v>6</v>
      </c>
      <c r="I1149" s="2" t="s">
        <v>78</v>
      </c>
      <c r="J1149" s="3">
        <v>0.217616580310881</v>
      </c>
      <c r="K1149" s="21">
        <v>1182.47142857143</v>
      </c>
      <c r="L1149" s="21">
        <v>41386.5</v>
      </c>
      <c r="M1149" s="21">
        <v>160.833333333333</v>
      </c>
      <c r="N1149" s="2" t="s">
        <v>80</v>
      </c>
    </row>
    <row r="1150" s="2" customFormat="1" spans="1:14">
      <c r="A1150" s="20">
        <v>45816</v>
      </c>
      <c r="B1150" s="2" t="s">
        <v>92</v>
      </c>
      <c r="C1150" s="2" t="s">
        <v>93</v>
      </c>
      <c r="D1150" s="2">
        <v>2</v>
      </c>
      <c r="E1150" s="2">
        <v>881</v>
      </c>
      <c r="F1150" s="2">
        <v>195</v>
      </c>
      <c r="G1150" s="2">
        <v>232420</v>
      </c>
      <c r="H1150" s="2">
        <v>9</v>
      </c>
      <c r="I1150" s="2" t="s">
        <v>81</v>
      </c>
      <c r="J1150" s="3">
        <v>0.221339387060159</v>
      </c>
      <c r="K1150" s="21">
        <v>1191.89743589744</v>
      </c>
      <c r="L1150" s="21">
        <v>25824.4444444444</v>
      </c>
      <c r="M1150" s="21">
        <v>97.8888888888889</v>
      </c>
      <c r="N1150" s="2" t="s">
        <v>80</v>
      </c>
    </row>
    <row r="1151" s="2" customFormat="1" spans="1:14">
      <c r="A1151" s="20">
        <v>45817</v>
      </c>
      <c r="B1151" s="2" t="s">
        <v>92</v>
      </c>
      <c r="C1151" s="2" t="s">
        <v>93</v>
      </c>
      <c r="D1151" s="2">
        <v>2</v>
      </c>
      <c r="E1151" s="2">
        <v>576</v>
      </c>
      <c r="F1151" s="2">
        <v>125</v>
      </c>
      <c r="G1151" s="2">
        <v>151515</v>
      </c>
      <c r="H1151" s="2">
        <v>4</v>
      </c>
      <c r="I1151" s="2" t="s">
        <v>78</v>
      </c>
      <c r="J1151" s="3">
        <v>0.217013888888889</v>
      </c>
      <c r="K1151" s="21">
        <v>1212.12</v>
      </c>
      <c r="L1151" s="21">
        <v>37878.75</v>
      </c>
      <c r="M1151" s="21">
        <v>144</v>
      </c>
      <c r="N1151" s="2" t="s">
        <v>79</v>
      </c>
    </row>
    <row r="1152" s="2" customFormat="1" spans="1:14">
      <c r="A1152" s="20">
        <v>45818</v>
      </c>
      <c r="B1152" s="2" t="s">
        <v>92</v>
      </c>
      <c r="C1152" s="2" t="s">
        <v>93</v>
      </c>
      <c r="D1152" s="2">
        <v>2</v>
      </c>
      <c r="E1152" s="2">
        <v>710</v>
      </c>
      <c r="F1152" s="2">
        <v>146</v>
      </c>
      <c r="G1152" s="2">
        <v>247686</v>
      </c>
      <c r="H1152" s="2">
        <v>7</v>
      </c>
      <c r="I1152" s="2" t="s">
        <v>78</v>
      </c>
      <c r="J1152" s="3">
        <v>0.205633802816901</v>
      </c>
      <c r="K1152" s="21">
        <v>1696.4794520548</v>
      </c>
      <c r="L1152" s="21">
        <v>35383.7142857143</v>
      </c>
      <c r="M1152" s="21">
        <v>101.428571428571</v>
      </c>
      <c r="N1152" s="2" t="s">
        <v>79</v>
      </c>
    </row>
    <row r="1153" s="2" customFormat="1" spans="1:14">
      <c r="A1153" s="20">
        <v>45819</v>
      </c>
      <c r="B1153" s="2" t="s">
        <v>92</v>
      </c>
      <c r="C1153" s="2" t="s">
        <v>93</v>
      </c>
      <c r="D1153" s="2">
        <v>2</v>
      </c>
      <c r="E1153" s="2">
        <v>664</v>
      </c>
      <c r="F1153" s="2">
        <v>133</v>
      </c>
      <c r="G1153" s="2">
        <v>172945</v>
      </c>
      <c r="H1153" s="2">
        <v>5</v>
      </c>
      <c r="I1153" s="2" t="s">
        <v>81</v>
      </c>
      <c r="J1153" s="3">
        <v>0.200301204819277</v>
      </c>
      <c r="K1153" s="21">
        <v>1300.33834586466</v>
      </c>
      <c r="L1153" s="21">
        <v>34589</v>
      </c>
      <c r="M1153" s="21">
        <v>132.8</v>
      </c>
      <c r="N1153" s="2" t="s">
        <v>79</v>
      </c>
    </row>
    <row r="1154" s="2" customFormat="1" spans="1:14">
      <c r="A1154" s="20">
        <v>45820</v>
      </c>
      <c r="B1154" s="2" t="s">
        <v>92</v>
      </c>
      <c r="C1154" s="2" t="s">
        <v>93</v>
      </c>
      <c r="D1154" s="2">
        <v>2</v>
      </c>
      <c r="E1154" s="2">
        <v>513</v>
      </c>
      <c r="F1154" s="2">
        <v>107</v>
      </c>
      <c r="G1154" s="2">
        <v>143041</v>
      </c>
      <c r="H1154" s="2">
        <v>8</v>
      </c>
      <c r="I1154" s="2" t="s">
        <v>78</v>
      </c>
      <c r="J1154" s="3">
        <v>0.208576998050682</v>
      </c>
      <c r="K1154" s="21">
        <v>1336.83177570093</v>
      </c>
      <c r="L1154" s="21">
        <v>17880.125</v>
      </c>
      <c r="M1154" s="21">
        <v>64.125</v>
      </c>
      <c r="N1154" s="2" t="s">
        <v>79</v>
      </c>
    </row>
    <row r="1155" s="2" customFormat="1" spans="1:14">
      <c r="A1155" s="20">
        <v>45821</v>
      </c>
      <c r="B1155" s="2" t="s">
        <v>92</v>
      </c>
      <c r="C1155" s="2" t="s">
        <v>93</v>
      </c>
      <c r="D1155" s="2">
        <v>2</v>
      </c>
      <c r="E1155" s="2">
        <v>521</v>
      </c>
      <c r="F1155" s="2">
        <v>104</v>
      </c>
      <c r="G1155" s="2">
        <v>156872</v>
      </c>
      <c r="H1155" s="2">
        <v>6</v>
      </c>
      <c r="I1155" s="2" t="s">
        <v>78</v>
      </c>
      <c r="J1155" s="3">
        <v>0.199616122840691</v>
      </c>
      <c r="K1155" s="21">
        <v>1508.38461538462</v>
      </c>
      <c r="L1155" s="21">
        <v>26145.3333333333</v>
      </c>
      <c r="M1155" s="21">
        <v>86.8333333333333</v>
      </c>
      <c r="N1155" s="2" t="s">
        <v>79</v>
      </c>
    </row>
    <row r="1156" s="2" customFormat="1" spans="1:14">
      <c r="A1156" s="20">
        <v>45822</v>
      </c>
      <c r="B1156" s="2" t="s">
        <v>92</v>
      </c>
      <c r="C1156" s="2" t="s">
        <v>93</v>
      </c>
      <c r="D1156" s="2">
        <v>2</v>
      </c>
      <c r="E1156" s="2">
        <v>936</v>
      </c>
      <c r="F1156" s="2">
        <v>175</v>
      </c>
      <c r="G1156" s="2">
        <v>277691</v>
      </c>
      <c r="H1156" s="2">
        <v>6</v>
      </c>
      <c r="I1156" s="2" t="s">
        <v>78</v>
      </c>
      <c r="J1156" s="3">
        <v>0.186965811965812</v>
      </c>
      <c r="K1156" s="21">
        <v>1586.80571428571</v>
      </c>
      <c r="L1156" s="21">
        <v>46281.8333333333</v>
      </c>
      <c r="M1156" s="21">
        <v>156</v>
      </c>
      <c r="N1156" s="2" t="s">
        <v>80</v>
      </c>
    </row>
    <row r="1157" s="2" customFormat="1" spans="1:14">
      <c r="A1157" s="20">
        <v>45823</v>
      </c>
      <c r="B1157" s="2" t="s">
        <v>92</v>
      </c>
      <c r="C1157" s="2" t="s">
        <v>93</v>
      </c>
      <c r="D1157" s="2">
        <v>2</v>
      </c>
      <c r="E1157" s="2">
        <v>933</v>
      </c>
      <c r="F1157" s="2">
        <v>167</v>
      </c>
      <c r="G1157" s="2">
        <v>218896</v>
      </c>
      <c r="H1157" s="2">
        <v>4</v>
      </c>
      <c r="I1157" s="2" t="s">
        <v>78</v>
      </c>
      <c r="J1157" s="3">
        <v>0.178992497320472</v>
      </c>
      <c r="K1157" s="21">
        <v>1310.75449101796</v>
      </c>
      <c r="L1157" s="21">
        <v>54724</v>
      </c>
      <c r="M1157" s="21">
        <v>233.25</v>
      </c>
      <c r="N1157" s="2" t="s">
        <v>80</v>
      </c>
    </row>
    <row r="1158" s="2" customFormat="1" spans="1:14">
      <c r="A1158" s="20">
        <v>45824</v>
      </c>
      <c r="B1158" s="2" t="s">
        <v>92</v>
      </c>
      <c r="C1158" s="2" t="s">
        <v>93</v>
      </c>
      <c r="D1158" s="2">
        <v>2</v>
      </c>
      <c r="E1158" s="2">
        <v>621</v>
      </c>
      <c r="F1158" s="2">
        <v>138</v>
      </c>
      <c r="G1158" s="2">
        <v>176114</v>
      </c>
      <c r="H1158" s="2">
        <v>8</v>
      </c>
      <c r="I1158" s="2" t="s">
        <v>78</v>
      </c>
      <c r="J1158" s="3">
        <v>0.222222222222222</v>
      </c>
      <c r="K1158" s="21">
        <v>1276.1884057971</v>
      </c>
      <c r="L1158" s="21">
        <v>22014.25</v>
      </c>
      <c r="M1158" s="21">
        <v>77.625</v>
      </c>
      <c r="N1158" s="2" t="s">
        <v>79</v>
      </c>
    </row>
    <row r="1159" s="2" customFormat="1" spans="1:14">
      <c r="A1159" s="20">
        <v>45825</v>
      </c>
      <c r="B1159" s="2" t="s">
        <v>92</v>
      </c>
      <c r="C1159" s="2" t="s">
        <v>93</v>
      </c>
      <c r="D1159" s="2">
        <v>2</v>
      </c>
      <c r="E1159" s="2">
        <v>586</v>
      </c>
      <c r="F1159" s="2">
        <v>114</v>
      </c>
      <c r="G1159" s="2">
        <v>129421</v>
      </c>
      <c r="H1159" s="2">
        <v>7</v>
      </c>
      <c r="I1159" s="2" t="s">
        <v>78</v>
      </c>
      <c r="J1159" s="3">
        <v>0.194539249146758</v>
      </c>
      <c r="K1159" s="21">
        <v>1135.27192982456</v>
      </c>
      <c r="L1159" s="21">
        <v>18488.7142857143</v>
      </c>
      <c r="M1159" s="21">
        <v>83.7142857142857</v>
      </c>
      <c r="N1159" s="2" t="s">
        <v>79</v>
      </c>
    </row>
    <row r="1160" s="2" customFormat="1" spans="1:14">
      <c r="A1160" s="20">
        <v>45826</v>
      </c>
      <c r="B1160" s="2" t="s">
        <v>92</v>
      </c>
      <c r="C1160" s="2" t="s">
        <v>93</v>
      </c>
      <c r="D1160" s="2">
        <v>2</v>
      </c>
      <c r="E1160" s="2">
        <v>586</v>
      </c>
      <c r="F1160" s="2">
        <v>119</v>
      </c>
      <c r="G1160" s="2">
        <v>149047</v>
      </c>
      <c r="H1160" s="2">
        <v>5</v>
      </c>
      <c r="I1160" s="2" t="s">
        <v>78</v>
      </c>
      <c r="J1160" s="3">
        <v>0.203071672354949</v>
      </c>
      <c r="K1160" s="21">
        <v>1252.49579831933</v>
      </c>
      <c r="L1160" s="21">
        <v>29809.4</v>
      </c>
      <c r="M1160" s="21">
        <v>117.2</v>
      </c>
      <c r="N1160" s="2" t="s">
        <v>79</v>
      </c>
    </row>
    <row r="1161" s="2" customFormat="1" spans="1:14">
      <c r="A1161" s="20">
        <v>45827</v>
      </c>
      <c r="B1161" s="2" t="s">
        <v>92</v>
      </c>
      <c r="C1161" s="2" t="s">
        <v>93</v>
      </c>
      <c r="D1161" s="2">
        <v>2</v>
      </c>
      <c r="E1161" s="2">
        <v>524</v>
      </c>
      <c r="F1161" s="2">
        <v>124</v>
      </c>
      <c r="G1161" s="2">
        <v>142602</v>
      </c>
      <c r="H1161" s="2">
        <v>9</v>
      </c>
      <c r="I1161" s="2" t="s">
        <v>78</v>
      </c>
      <c r="J1161" s="3">
        <v>0.236641221374046</v>
      </c>
      <c r="K1161" s="21">
        <v>1150.01612903226</v>
      </c>
      <c r="L1161" s="21">
        <v>15844.6666666667</v>
      </c>
      <c r="M1161" s="21">
        <v>58.2222222222222</v>
      </c>
      <c r="N1161" s="2" t="s">
        <v>79</v>
      </c>
    </row>
    <row r="1162" s="2" customFormat="1" spans="1:14">
      <c r="A1162" s="20">
        <v>45828</v>
      </c>
      <c r="B1162" s="2" t="s">
        <v>92</v>
      </c>
      <c r="C1162" s="2" t="s">
        <v>93</v>
      </c>
      <c r="D1162" s="2">
        <v>2</v>
      </c>
      <c r="E1162" s="2">
        <v>487</v>
      </c>
      <c r="F1162" s="2">
        <v>108</v>
      </c>
      <c r="G1162" s="2">
        <v>142319</v>
      </c>
      <c r="H1162" s="2">
        <v>7</v>
      </c>
      <c r="I1162" s="2" t="s">
        <v>78</v>
      </c>
      <c r="J1162" s="3">
        <v>0.2217659137577</v>
      </c>
      <c r="K1162" s="21">
        <v>1317.76851851852</v>
      </c>
      <c r="L1162" s="21">
        <v>20331.2857142857</v>
      </c>
      <c r="M1162" s="21">
        <v>69.5714285714286</v>
      </c>
      <c r="N1162" s="2" t="s">
        <v>79</v>
      </c>
    </row>
    <row r="1163" s="2" customFormat="1" spans="1:14">
      <c r="A1163" s="20">
        <v>45829</v>
      </c>
      <c r="B1163" s="2" t="s">
        <v>92</v>
      </c>
      <c r="C1163" s="2" t="s">
        <v>93</v>
      </c>
      <c r="D1163" s="2">
        <v>2</v>
      </c>
      <c r="E1163" s="2">
        <v>847</v>
      </c>
      <c r="F1163" s="2">
        <v>164</v>
      </c>
      <c r="G1163" s="2">
        <v>233396</v>
      </c>
      <c r="H1163" s="2">
        <v>4</v>
      </c>
      <c r="I1163" s="2" t="s">
        <v>78</v>
      </c>
      <c r="J1163" s="3">
        <v>0.193624557260921</v>
      </c>
      <c r="K1163" s="21">
        <v>1423.14634146341</v>
      </c>
      <c r="L1163" s="21">
        <v>58349</v>
      </c>
      <c r="M1163" s="21">
        <v>211.75</v>
      </c>
      <c r="N1163" s="2" t="s">
        <v>80</v>
      </c>
    </row>
    <row r="1164" s="2" customFormat="1" spans="1:14">
      <c r="A1164" s="20">
        <v>45830</v>
      </c>
      <c r="B1164" s="2" t="s">
        <v>92</v>
      </c>
      <c r="C1164" s="2" t="s">
        <v>93</v>
      </c>
      <c r="D1164" s="2">
        <v>2</v>
      </c>
      <c r="E1164" s="2">
        <v>824</v>
      </c>
      <c r="F1164" s="2">
        <v>154</v>
      </c>
      <c r="G1164" s="2">
        <v>184167</v>
      </c>
      <c r="H1164" s="2">
        <v>4</v>
      </c>
      <c r="I1164" s="2" t="s">
        <v>78</v>
      </c>
      <c r="J1164" s="3">
        <v>0.186893203883495</v>
      </c>
      <c r="K1164" s="21">
        <v>1195.88961038961</v>
      </c>
      <c r="L1164" s="21">
        <v>46041.75</v>
      </c>
      <c r="M1164" s="21">
        <v>206</v>
      </c>
      <c r="N1164" s="2" t="s">
        <v>80</v>
      </c>
    </row>
    <row r="1165" s="2" customFormat="1" spans="1:14">
      <c r="A1165" s="20">
        <v>45831</v>
      </c>
      <c r="B1165" s="2" t="s">
        <v>92</v>
      </c>
      <c r="C1165" s="2" t="s">
        <v>93</v>
      </c>
      <c r="D1165" s="2">
        <v>2</v>
      </c>
      <c r="E1165" s="2">
        <v>596</v>
      </c>
      <c r="F1165" s="2">
        <v>122</v>
      </c>
      <c r="G1165" s="2">
        <v>175454</v>
      </c>
      <c r="H1165" s="2">
        <v>6</v>
      </c>
      <c r="I1165" s="2" t="s">
        <v>78</v>
      </c>
      <c r="J1165" s="3">
        <v>0.204697986577181</v>
      </c>
      <c r="K1165" s="21">
        <v>1438.14754098361</v>
      </c>
      <c r="L1165" s="21">
        <v>29242.3333333333</v>
      </c>
      <c r="M1165" s="21">
        <v>99.3333333333333</v>
      </c>
      <c r="N1165" s="2" t="s">
        <v>79</v>
      </c>
    </row>
    <row r="1166" s="2" customFormat="1" spans="1:14">
      <c r="A1166" s="20">
        <v>45832</v>
      </c>
      <c r="B1166" s="2" t="s">
        <v>92</v>
      </c>
      <c r="C1166" s="2" t="s">
        <v>93</v>
      </c>
      <c r="D1166" s="2">
        <v>2</v>
      </c>
      <c r="E1166" s="2">
        <v>532</v>
      </c>
      <c r="F1166" s="2">
        <v>99</v>
      </c>
      <c r="G1166" s="2">
        <v>147627</v>
      </c>
      <c r="H1166" s="2">
        <v>5</v>
      </c>
      <c r="I1166" s="2" t="s">
        <v>78</v>
      </c>
      <c r="J1166" s="3">
        <v>0.18609022556391</v>
      </c>
      <c r="K1166" s="21">
        <v>1491.18181818182</v>
      </c>
      <c r="L1166" s="21">
        <v>29525.4</v>
      </c>
      <c r="M1166" s="21">
        <v>106.4</v>
      </c>
      <c r="N1166" s="2" t="s">
        <v>79</v>
      </c>
    </row>
    <row r="1167" s="2" customFormat="1" spans="1:14">
      <c r="A1167" s="20">
        <v>45833</v>
      </c>
      <c r="B1167" s="2" t="s">
        <v>92</v>
      </c>
      <c r="C1167" s="2" t="s">
        <v>93</v>
      </c>
      <c r="D1167" s="2">
        <v>2</v>
      </c>
      <c r="E1167" s="2">
        <v>569</v>
      </c>
      <c r="F1167" s="2">
        <v>106</v>
      </c>
      <c r="G1167" s="2">
        <v>130754</v>
      </c>
      <c r="H1167" s="2">
        <v>6</v>
      </c>
      <c r="I1167" s="2" t="s">
        <v>78</v>
      </c>
      <c r="J1167" s="3">
        <v>0.186291739894552</v>
      </c>
      <c r="K1167" s="21">
        <v>1233.52830188679</v>
      </c>
      <c r="L1167" s="21">
        <v>21792.3333333333</v>
      </c>
      <c r="M1167" s="21">
        <v>94.8333333333333</v>
      </c>
      <c r="N1167" s="2" t="s">
        <v>79</v>
      </c>
    </row>
    <row r="1168" s="2" customFormat="1" spans="1:14">
      <c r="A1168" s="20">
        <v>45834</v>
      </c>
      <c r="B1168" s="2" t="s">
        <v>92</v>
      </c>
      <c r="C1168" s="2" t="s">
        <v>93</v>
      </c>
      <c r="D1168" s="2">
        <v>2</v>
      </c>
      <c r="E1168" s="2">
        <v>522</v>
      </c>
      <c r="F1168" s="2">
        <v>101</v>
      </c>
      <c r="G1168" s="2">
        <v>121654</v>
      </c>
      <c r="H1168" s="2">
        <v>7</v>
      </c>
      <c r="I1168" s="2" t="s">
        <v>78</v>
      </c>
      <c r="J1168" s="3">
        <v>0.193486590038314</v>
      </c>
      <c r="K1168" s="21">
        <v>1204.49504950495</v>
      </c>
      <c r="L1168" s="21">
        <v>17379.1428571429</v>
      </c>
      <c r="M1168" s="21">
        <v>74.5714285714286</v>
      </c>
      <c r="N1168" s="2" t="s">
        <v>79</v>
      </c>
    </row>
    <row r="1169" s="2" customFormat="1" spans="1:14">
      <c r="A1169" s="20">
        <v>45835</v>
      </c>
      <c r="B1169" s="2" t="s">
        <v>92</v>
      </c>
      <c r="C1169" s="2" t="s">
        <v>93</v>
      </c>
      <c r="D1169" s="2">
        <v>2</v>
      </c>
      <c r="E1169" s="2">
        <v>609</v>
      </c>
      <c r="F1169" s="2">
        <v>130</v>
      </c>
      <c r="G1169" s="2">
        <v>169654</v>
      </c>
      <c r="H1169" s="2">
        <v>7</v>
      </c>
      <c r="I1169" s="2" t="s">
        <v>81</v>
      </c>
      <c r="J1169" s="3">
        <v>0.213464696223317</v>
      </c>
      <c r="K1169" s="21">
        <v>1305.03076923077</v>
      </c>
      <c r="L1169" s="21">
        <v>24236.2857142857</v>
      </c>
      <c r="M1169" s="21">
        <v>87</v>
      </c>
      <c r="N1169" s="2" t="s">
        <v>79</v>
      </c>
    </row>
    <row r="1170" s="2" customFormat="1" spans="1:14">
      <c r="A1170" s="20">
        <v>45836</v>
      </c>
      <c r="B1170" s="2" t="s">
        <v>92</v>
      </c>
      <c r="C1170" s="2" t="s">
        <v>93</v>
      </c>
      <c r="D1170" s="2">
        <v>2</v>
      </c>
      <c r="E1170" s="2">
        <v>881</v>
      </c>
      <c r="F1170" s="2">
        <v>197</v>
      </c>
      <c r="G1170" s="2">
        <v>284356</v>
      </c>
      <c r="H1170" s="2">
        <v>7</v>
      </c>
      <c r="I1170" s="2" t="s">
        <v>78</v>
      </c>
      <c r="J1170" s="3">
        <v>0.22360953461975</v>
      </c>
      <c r="K1170" s="21">
        <v>1443.43147208122</v>
      </c>
      <c r="L1170" s="21">
        <v>40622.2857142857</v>
      </c>
      <c r="M1170" s="21">
        <v>125.857142857143</v>
      </c>
      <c r="N1170" s="2" t="s">
        <v>80</v>
      </c>
    </row>
    <row r="1171" s="2" customFormat="1" spans="1:14">
      <c r="A1171" s="20">
        <v>45837</v>
      </c>
      <c r="B1171" s="2" t="s">
        <v>92</v>
      </c>
      <c r="C1171" s="2" t="s">
        <v>93</v>
      </c>
      <c r="D1171" s="2">
        <v>2</v>
      </c>
      <c r="E1171" s="2">
        <v>885</v>
      </c>
      <c r="F1171" s="2">
        <v>189</v>
      </c>
      <c r="G1171" s="2">
        <v>315810</v>
      </c>
      <c r="H1171" s="2">
        <v>9</v>
      </c>
      <c r="I1171" s="2" t="s">
        <v>78</v>
      </c>
      <c r="J1171" s="3">
        <v>0.213559322033898</v>
      </c>
      <c r="K1171" s="21">
        <v>1670.95238095238</v>
      </c>
      <c r="L1171" s="21">
        <v>35090</v>
      </c>
      <c r="M1171" s="21">
        <v>98.3333333333333</v>
      </c>
      <c r="N1171" s="2" t="s">
        <v>80</v>
      </c>
    </row>
    <row r="1172" s="2" customFormat="1" spans="1:14">
      <c r="A1172" s="20">
        <v>45838</v>
      </c>
      <c r="B1172" s="2" t="s">
        <v>92</v>
      </c>
      <c r="C1172" s="2" t="s">
        <v>93</v>
      </c>
      <c r="D1172" s="2">
        <v>2</v>
      </c>
      <c r="E1172" s="2">
        <v>608</v>
      </c>
      <c r="F1172" s="2">
        <v>132</v>
      </c>
      <c r="G1172" s="2">
        <v>157765</v>
      </c>
      <c r="H1172" s="2">
        <v>5</v>
      </c>
      <c r="I1172" s="2" t="s">
        <v>78</v>
      </c>
      <c r="J1172" s="3">
        <v>0.217105263157895</v>
      </c>
      <c r="K1172" s="21">
        <v>1195.18939393939</v>
      </c>
      <c r="L1172" s="21">
        <v>31553</v>
      </c>
      <c r="M1172" s="21">
        <v>121.6</v>
      </c>
      <c r="N1172" s="2" t="s">
        <v>79</v>
      </c>
    </row>
    <row r="1173" s="2" customFormat="1" spans="1:14">
      <c r="A1173" s="20">
        <v>45839</v>
      </c>
      <c r="B1173" s="2" t="s">
        <v>92</v>
      </c>
      <c r="C1173" s="2" t="s">
        <v>93</v>
      </c>
      <c r="D1173" s="2">
        <v>2</v>
      </c>
      <c r="E1173" s="2">
        <v>544</v>
      </c>
      <c r="F1173" s="2">
        <v>103</v>
      </c>
      <c r="G1173" s="2">
        <v>163381</v>
      </c>
      <c r="H1173" s="2">
        <v>6</v>
      </c>
      <c r="I1173" s="2" t="s">
        <v>78</v>
      </c>
      <c r="J1173" s="3">
        <v>0.189338235294118</v>
      </c>
      <c r="K1173" s="21">
        <v>1586.22330097087</v>
      </c>
      <c r="L1173" s="21">
        <v>27230.1666666667</v>
      </c>
      <c r="M1173" s="21">
        <v>90.6666666666667</v>
      </c>
      <c r="N1173" s="2" t="s">
        <v>79</v>
      </c>
    </row>
    <row r="1174" s="2" customFormat="1" spans="1:14">
      <c r="A1174" s="20">
        <v>45840</v>
      </c>
      <c r="B1174" s="2" t="s">
        <v>92</v>
      </c>
      <c r="C1174" s="2" t="s">
        <v>93</v>
      </c>
      <c r="D1174" s="2">
        <v>2</v>
      </c>
      <c r="E1174" s="2">
        <v>678</v>
      </c>
      <c r="F1174" s="2">
        <v>137</v>
      </c>
      <c r="G1174" s="2">
        <v>223215</v>
      </c>
      <c r="H1174" s="2">
        <v>8</v>
      </c>
      <c r="I1174" s="2" t="s">
        <v>78</v>
      </c>
      <c r="J1174" s="3">
        <v>0.202064896755162</v>
      </c>
      <c r="K1174" s="21">
        <v>1629.30656934307</v>
      </c>
      <c r="L1174" s="21">
        <v>27901.875</v>
      </c>
      <c r="M1174" s="21">
        <v>84.75</v>
      </c>
      <c r="N1174" s="2" t="s">
        <v>79</v>
      </c>
    </row>
    <row r="1175" s="2" customFormat="1" spans="1:14">
      <c r="A1175" s="20">
        <v>45841</v>
      </c>
      <c r="B1175" s="2" t="s">
        <v>92</v>
      </c>
      <c r="C1175" s="2" t="s">
        <v>93</v>
      </c>
      <c r="D1175" s="2">
        <v>2</v>
      </c>
      <c r="E1175" s="2">
        <v>636</v>
      </c>
      <c r="F1175" s="2">
        <v>138</v>
      </c>
      <c r="G1175" s="2">
        <v>192161</v>
      </c>
      <c r="H1175" s="2">
        <v>5</v>
      </c>
      <c r="I1175" s="2" t="s">
        <v>78</v>
      </c>
      <c r="J1175" s="3">
        <v>0.216981132075472</v>
      </c>
      <c r="K1175" s="21">
        <v>1392.47101449275</v>
      </c>
      <c r="L1175" s="21">
        <v>38432.2</v>
      </c>
      <c r="M1175" s="21">
        <v>127.2</v>
      </c>
      <c r="N1175" s="2" t="s">
        <v>79</v>
      </c>
    </row>
    <row r="1176" s="2" customFormat="1" spans="1:14">
      <c r="A1176" s="20">
        <v>45842</v>
      </c>
      <c r="B1176" s="2" t="s">
        <v>92</v>
      </c>
      <c r="C1176" s="2" t="s">
        <v>93</v>
      </c>
      <c r="D1176" s="2">
        <v>2</v>
      </c>
      <c r="E1176" s="2">
        <v>602</v>
      </c>
      <c r="F1176" s="2">
        <v>118</v>
      </c>
      <c r="G1176" s="2">
        <v>130227</v>
      </c>
      <c r="H1176" s="2">
        <v>5</v>
      </c>
      <c r="I1176" s="2" t="s">
        <v>78</v>
      </c>
      <c r="J1176" s="3">
        <v>0.196013289036545</v>
      </c>
      <c r="K1176" s="21">
        <v>1103.6186440678</v>
      </c>
      <c r="L1176" s="21">
        <v>26045.4</v>
      </c>
      <c r="M1176" s="21">
        <v>120.4</v>
      </c>
      <c r="N1176" s="2" t="s">
        <v>79</v>
      </c>
    </row>
    <row r="1177" s="2" customFormat="1" spans="1:14">
      <c r="A1177" s="20">
        <v>45843</v>
      </c>
      <c r="B1177" s="2" t="s">
        <v>92</v>
      </c>
      <c r="C1177" s="2" t="s">
        <v>93</v>
      </c>
      <c r="D1177" s="2">
        <v>2</v>
      </c>
      <c r="E1177" s="2">
        <v>685</v>
      </c>
      <c r="F1177" s="2">
        <v>159</v>
      </c>
      <c r="G1177" s="2">
        <v>226932</v>
      </c>
      <c r="H1177" s="2">
        <v>8</v>
      </c>
      <c r="I1177" s="2" t="s">
        <v>78</v>
      </c>
      <c r="J1177" s="3">
        <v>0.232116788321168</v>
      </c>
      <c r="K1177" s="21">
        <v>1427.24528301887</v>
      </c>
      <c r="L1177" s="21">
        <v>28366.5</v>
      </c>
      <c r="M1177" s="21">
        <v>85.625</v>
      </c>
      <c r="N1177" s="2" t="s">
        <v>80</v>
      </c>
    </row>
    <row r="1178" s="2" customFormat="1" spans="1:14">
      <c r="A1178" s="20">
        <v>45844</v>
      </c>
      <c r="B1178" s="2" t="s">
        <v>92</v>
      </c>
      <c r="C1178" s="2" t="s">
        <v>93</v>
      </c>
      <c r="D1178" s="2">
        <v>2</v>
      </c>
      <c r="E1178" s="2">
        <v>1006</v>
      </c>
      <c r="F1178" s="2">
        <v>181</v>
      </c>
      <c r="G1178" s="2">
        <v>254348</v>
      </c>
      <c r="H1178" s="2">
        <v>4</v>
      </c>
      <c r="I1178" s="2" t="s">
        <v>78</v>
      </c>
      <c r="J1178" s="3">
        <v>0.179920477137177</v>
      </c>
      <c r="K1178" s="21">
        <v>1405.23756906077</v>
      </c>
      <c r="L1178" s="21">
        <v>63587</v>
      </c>
      <c r="M1178" s="21">
        <v>251.5</v>
      </c>
      <c r="N1178" s="2" t="s">
        <v>80</v>
      </c>
    </row>
    <row r="1179" s="2" customFormat="1" spans="1:14">
      <c r="A1179" s="20">
        <v>45845</v>
      </c>
      <c r="B1179" s="2" t="s">
        <v>92</v>
      </c>
      <c r="C1179" s="2" t="s">
        <v>93</v>
      </c>
      <c r="D1179" s="2">
        <v>2</v>
      </c>
      <c r="E1179" s="2">
        <v>593</v>
      </c>
      <c r="F1179" s="2">
        <v>121</v>
      </c>
      <c r="G1179" s="2">
        <v>169264</v>
      </c>
      <c r="H1179" s="2">
        <v>4</v>
      </c>
      <c r="I1179" s="2" t="s">
        <v>78</v>
      </c>
      <c r="J1179" s="3">
        <v>0.204047217537943</v>
      </c>
      <c r="K1179" s="21">
        <v>1398.87603305785</v>
      </c>
      <c r="L1179" s="21">
        <v>42316</v>
      </c>
      <c r="M1179" s="21">
        <v>148.25</v>
      </c>
      <c r="N1179" s="2" t="s">
        <v>79</v>
      </c>
    </row>
    <row r="1180" s="2" customFormat="1" spans="1:14">
      <c r="A1180" s="20">
        <v>45846</v>
      </c>
      <c r="B1180" s="2" t="s">
        <v>92</v>
      </c>
      <c r="C1180" s="2" t="s">
        <v>93</v>
      </c>
      <c r="D1180" s="2">
        <v>2</v>
      </c>
      <c r="E1180" s="2">
        <v>640</v>
      </c>
      <c r="F1180" s="2">
        <v>127</v>
      </c>
      <c r="G1180" s="2">
        <v>178280</v>
      </c>
      <c r="H1180" s="2">
        <v>6</v>
      </c>
      <c r="I1180" s="2" t="s">
        <v>78</v>
      </c>
      <c r="J1180" s="3">
        <v>0.1984375</v>
      </c>
      <c r="K1180" s="21">
        <v>1403.77952755905</v>
      </c>
      <c r="L1180" s="21">
        <v>29713.3333333333</v>
      </c>
      <c r="M1180" s="21">
        <v>106.666666666667</v>
      </c>
      <c r="N1180" s="2" t="s">
        <v>79</v>
      </c>
    </row>
    <row r="1181" s="2" customFormat="1" spans="1:14">
      <c r="A1181" s="20">
        <v>45847</v>
      </c>
      <c r="B1181" s="2" t="s">
        <v>92</v>
      </c>
      <c r="C1181" s="2" t="s">
        <v>93</v>
      </c>
      <c r="D1181" s="2">
        <v>2</v>
      </c>
      <c r="E1181" s="2">
        <v>720</v>
      </c>
      <c r="F1181" s="2">
        <v>161</v>
      </c>
      <c r="G1181" s="2">
        <v>225678</v>
      </c>
      <c r="H1181" s="2">
        <v>6</v>
      </c>
      <c r="I1181" s="2" t="s">
        <v>78</v>
      </c>
      <c r="J1181" s="3">
        <v>0.223611111111111</v>
      </c>
      <c r="K1181" s="21">
        <v>1401.72670807453</v>
      </c>
      <c r="L1181" s="21">
        <v>37613</v>
      </c>
      <c r="M1181" s="21">
        <v>120</v>
      </c>
      <c r="N1181" s="2" t="s">
        <v>79</v>
      </c>
    </row>
    <row r="1182" s="2" customFormat="1" spans="1:14">
      <c r="A1182" s="20">
        <v>45848</v>
      </c>
      <c r="B1182" s="2" t="s">
        <v>92</v>
      </c>
      <c r="C1182" s="2" t="s">
        <v>93</v>
      </c>
      <c r="D1182" s="2">
        <v>2</v>
      </c>
      <c r="E1182" s="2">
        <v>625</v>
      </c>
      <c r="F1182" s="2">
        <v>134</v>
      </c>
      <c r="G1182" s="2">
        <v>161223</v>
      </c>
      <c r="H1182" s="2">
        <v>5</v>
      </c>
      <c r="I1182" s="2" t="s">
        <v>78</v>
      </c>
      <c r="J1182" s="3">
        <v>0.2144</v>
      </c>
      <c r="K1182" s="21">
        <v>1203.15671641791</v>
      </c>
      <c r="L1182" s="21">
        <v>32244.6</v>
      </c>
      <c r="M1182" s="21">
        <v>125</v>
      </c>
      <c r="N1182" s="2" t="s">
        <v>79</v>
      </c>
    </row>
    <row r="1183" s="2" customFormat="1" spans="1:14">
      <c r="A1183" s="20">
        <v>45849</v>
      </c>
      <c r="B1183" s="2" t="s">
        <v>92</v>
      </c>
      <c r="C1183" s="2" t="s">
        <v>93</v>
      </c>
      <c r="D1183" s="2">
        <v>2</v>
      </c>
      <c r="E1183" s="2">
        <v>747</v>
      </c>
      <c r="F1183" s="2">
        <v>149</v>
      </c>
      <c r="G1183" s="2">
        <v>239764</v>
      </c>
      <c r="H1183" s="2">
        <v>6</v>
      </c>
      <c r="I1183" s="2" t="s">
        <v>78</v>
      </c>
      <c r="J1183" s="3">
        <v>0.19946452476573</v>
      </c>
      <c r="K1183" s="21">
        <v>1609.15436241611</v>
      </c>
      <c r="L1183" s="21">
        <v>39960.6666666667</v>
      </c>
      <c r="M1183" s="21">
        <v>124.5</v>
      </c>
      <c r="N1183" s="2" t="s">
        <v>79</v>
      </c>
    </row>
    <row r="1184" s="2" customFormat="1" spans="1:14">
      <c r="A1184" s="20">
        <v>45850</v>
      </c>
      <c r="B1184" s="2" t="s">
        <v>92</v>
      </c>
      <c r="C1184" s="2" t="s">
        <v>93</v>
      </c>
      <c r="D1184" s="2">
        <v>2</v>
      </c>
      <c r="E1184" s="2">
        <v>1010</v>
      </c>
      <c r="F1184" s="2">
        <v>235</v>
      </c>
      <c r="G1184" s="2">
        <v>287178</v>
      </c>
      <c r="H1184" s="2">
        <v>9</v>
      </c>
      <c r="I1184" s="2" t="s">
        <v>78</v>
      </c>
      <c r="J1184" s="3">
        <v>0.232673267326733</v>
      </c>
      <c r="K1184" s="21">
        <v>1222.03404255319</v>
      </c>
      <c r="L1184" s="21">
        <v>31908.6666666667</v>
      </c>
      <c r="M1184" s="21">
        <v>112.222222222222</v>
      </c>
      <c r="N1184" s="2" t="s">
        <v>80</v>
      </c>
    </row>
    <row r="1185" s="2" customFormat="1" spans="1:14">
      <c r="A1185" s="20">
        <v>45851</v>
      </c>
      <c r="B1185" s="2" t="s">
        <v>92</v>
      </c>
      <c r="C1185" s="2" t="s">
        <v>93</v>
      </c>
      <c r="D1185" s="2">
        <v>2</v>
      </c>
      <c r="E1185" s="2">
        <v>861</v>
      </c>
      <c r="F1185" s="2">
        <v>158</v>
      </c>
      <c r="G1185" s="2">
        <v>250142</v>
      </c>
      <c r="H1185" s="2">
        <v>5</v>
      </c>
      <c r="I1185" s="2" t="s">
        <v>78</v>
      </c>
      <c r="J1185" s="3">
        <v>0.183507549361208</v>
      </c>
      <c r="K1185" s="21">
        <v>1583.17721518987</v>
      </c>
      <c r="L1185" s="21">
        <v>50028.4</v>
      </c>
      <c r="M1185" s="21">
        <v>172.2</v>
      </c>
      <c r="N1185" s="2" t="s">
        <v>80</v>
      </c>
    </row>
    <row r="1186" s="2" customFormat="1" spans="1:14">
      <c r="A1186" s="20">
        <v>45852</v>
      </c>
      <c r="B1186" s="2" t="s">
        <v>92</v>
      </c>
      <c r="C1186" s="2" t="s">
        <v>93</v>
      </c>
      <c r="D1186" s="2">
        <v>2</v>
      </c>
      <c r="E1186" s="2">
        <v>559</v>
      </c>
      <c r="F1186" s="2">
        <v>124</v>
      </c>
      <c r="G1186" s="2">
        <v>199091</v>
      </c>
      <c r="H1186" s="2">
        <v>6</v>
      </c>
      <c r="I1186" s="2" t="s">
        <v>81</v>
      </c>
      <c r="J1186" s="3">
        <v>0.221824686940966</v>
      </c>
      <c r="K1186" s="21">
        <v>1605.57258064516</v>
      </c>
      <c r="L1186" s="21">
        <v>33181.8333333333</v>
      </c>
      <c r="M1186" s="21">
        <v>93.1666666666667</v>
      </c>
      <c r="N1186" s="2" t="s">
        <v>79</v>
      </c>
    </row>
    <row r="1187" s="2" customFormat="1" spans="1:14">
      <c r="A1187" s="20">
        <v>45853</v>
      </c>
      <c r="B1187" s="2" t="s">
        <v>92</v>
      </c>
      <c r="C1187" s="2" t="s">
        <v>93</v>
      </c>
      <c r="D1187" s="2">
        <v>2</v>
      </c>
      <c r="E1187" s="2">
        <v>674</v>
      </c>
      <c r="F1187" s="2">
        <v>148</v>
      </c>
      <c r="G1187" s="2">
        <v>227280</v>
      </c>
      <c r="H1187" s="2">
        <v>6</v>
      </c>
      <c r="I1187" s="2" t="s">
        <v>78</v>
      </c>
      <c r="J1187" s="3">
        <v>0.219584569732938</v>
      </c>
      <c r="K1187" s="21">
        <v>1535.67567567568</v>
      </c>
      <c r="L1187" s="21">
        <v>37880</v>
      </c>
      <c r="M1187" s="21">
        <v>112.333333333333</v>
      </c>
      <c r="N1187" s="2" t="s">
        <v>79</v>
      </c>
    </row>
    <row r="1188" s="2" customFormat="1" spans="1:14">
      <c r="A1188" s="20">
        <v>45854</v>
      </c>
      <c r="B1188" s="2" t="s">
        <v>92</v>
      </c>
      <c r="C1188" s="2" t="s">
        <v>93</v>
      </c>
      <c r="D1188" s="2">
        <v>2</v>
      </c>
      <c r="E1188" s="2">
        <v>636</v>
      </c>
      <c r="F1188" s="2">
        <v>136</v>
      </c>
      <c r="G1188" s="2">
        <v>153774</v>
      </c>
      <c r="H1188" s="2">
        <v>4</v>
      </c>
      <c r="I1188" s="2" t="s">
        <v>78</v>
      </c>
      <c r="J1188" s="3">
        <v>0.213836477987421</v>
      </c>
      <c r="K1188" s="21">
        <v>1130.69117647059</v>
      </c>
      <c r="L1188" s="21">
        <v>38443.5</v>
      </c>
      <c r="M1188" s="21">
        <v>159</v>
      </c>
      <c r="N1188" s="2" t="s">
        <v>79</v>
      </c>
    </row>
    <row r="1189" s="2" customFormat="1" spans="1:14">
      <c r="A1189" s="20">
        <v>45855</v>
      </c>
      <c r="B1189" s="2" t="s">
        <v>92</v>
      </c>
      <c r="C1189" s="2" t="s">
        <v>93</v>
      </c>
      <c r="D1189" s="2">
        <v>2</v>
      </c>
      <c r="E1189" s="2">
        <v>625</v>
      </c>
      <c r="F1189" s="2">
        <v>130</v>
      </c>
      <c r="G1189" s="2">
        <v>156350</v>
      </c>
      <c r="H1189" s="2">
        <v>7</v>
      </c>
      <c r="I1189" s="2" t="s">
        <v>78</v>
      </c>
      <c r="J1189" s="3">
        <v>0.208</v>
      </c>
      <c r="K1189" s="21">
        <v>1202.69230769231</v>
      </c>
      <c r="L1189" s="21">
        <v>22335.7142857143</v>
      </c>
      <c r="M1189" s="21">
        <v>89.2857142857143</v>
      </c>
      <c r="N1189" s="2" t="s">
        <v>79</v>
      </c>
    </row>
    <row r="1190" s="2" customFormat="1" spans="1:14">
      <c r="A1190" s="20">
        <v>45856</v>
      </c>
      <c r="B1190" s="2" t="s">
        <v>92</v>
      </c>
      <c r="C1190" s="2" t="s">
        <v>93</v>
      </c>
      <c r="D1190" s="2">
        <v>2</v>
      </c>
      <c r="E1190" s="2">
        <v>686</v>
      </c>
      <c r="F1190" s="2">
        <v>128</v>
      </c>
      <c r="G1190" s="2">
        <v>188450</v>
      </c>
      <c r="H1190" s="2">
        <v>6</v>
      </c>
      <c r="I1190" s="2" t="s">
        <v>78</v>
      </c>
      <c r="J1190" s="3">
        <v>0.186588921282799</v>
      </c>
      <c r="K1190" s="21">
        <v>1472.265625</v>
      </c>
      <c r="L1190" s="21">
        <v>31408.3333333333</v>
      </c>
      <c r="M1190" s="21">
        <v>114.333333333333</v>
      </c>
      <c r="N1190" s="2" t="s">
        <v>79</v>
      </c>
    </row>
    <row r="1191" s="2" customFormat="1" spans="1:14">
      <c r="A1191" s="20">
        <v>45857</v>
      </c>
      <c r="B1191" s="2" t="s">
        <v>92</v>
      </c>
      <c r="C1191" s="2" t="s">
        <v>93</v>
      </c>
      <c r="D1191" s="2">
        <v>2</v>
      </c>
      <c r="E1191" s="2">
        <v>847</v>
      </c>
      <c r="F1191" s="2">
        <v>195</v>
      </c>
      <c r="G1191" s="2">
        <v>319429</v>
      </c>
      <c r="H1191" s="2">
        <v>8</v>
      </c>
      <c r="I1191" s="2" t="s">
        <v>78</v>
      </c>
      <c r="J1191" s="3">
        <v>0.230224321133412</v>
      </c>
      <c r="K1191" s="21">
        <v>1638.09743589744</v>
      </c>
      <c r="L1191" s="21">
        <v>39928.625</v>
      </c>
      <c r="M1191" s="21">
        <v>105.875</v>
      </c>
      <c r="N1191" s="2" t="s">
        <v>80</v>
      </c>
    </row>
    <row r="1192" s="2" customFormat="1" spans="1:14">
      <c r="A1192" s="20">
        <v>45858</v>
      </c>
      <c r="B1192" s="2" t="s">
        <v>92</v>
      </c>
      <c r="C1192" s="2" t="s">
        <v>93</v>
      </c>
      <c r="D1192" s="2">
        <v>2</v>
      </c>
      <c r="E1192" s="2">
        <v>906</v>
      </c>
      <c r="F1192" s="2">
        <v>200</v>
      </c>
      <c r="G1192" s="2">
        <v>227129</v>
      </c>
      <c r="H1192" s="2">
        <v>6</v>
      </c>
      <c r="I1192" s="2" t="s">
        <v>78</v>
      </c>
      <c r="J1192" s="3">
        <v>0.22075055187638</v>
      </c>
      <c r="K1192" s="21">
        <v>1135.645</v>
      </c>
      <c r="L1192" s="21">
        <v>37854.8333333333</v>
      </c>
      <c r="M1192" s="21">
        <v>151</v>
      </c>
      <c r="N1192" s="2" t="s">
        <v>80</v>
      </c>
    </row>
    <row r="1193" s="2" customFormat="1" spans="1:14">
      <c r="A1193" s="20">
        <v>45859</v>
      </c>
      <c r="B1193" s="2" t="s">
        <v>92</v>
      </c>
      <c r="C1193" s="2" t="s">
        <v>93</v>
      </c>
      <c r="D1193" s="2">
        <v>2</v>
      </c>
      <c r="E1193" s="2">
        <v>608</v>
      </c>
      <c r="F1193" s="2">
        <v>123</v>
      </c>
      <c r="G1193" s="2">
        <v>193775</v>
      </c>
      <c r="H1193" s="2">
        <v>5</v>
      </c>
      <c r="I1193" s="2" t="s">
        <v>78</v>
      </c>
      <c r="J1193" s="3">
        <v>0.202302631578947</v>
      </c>
      <c r="K1193" s="21">
        <v>1575.40650406504</v>
      </c>
      <c r="L1193" s="21">
        <v>38755</v>
      </c>
      <c r="M1193" s="21">
        <v>121.6</v>
      </c>
      <c r="N1193" s="2" t="s">
        <v>79</v>
      </c>
    </row>
    <row r="1194" s="2" customFormat="1" spans="1:14">
      <c r="A1194" s="20">
        <v>45860</v>
      </c>
      <c r="B1194" s="2" t="s">
        <v>92</v>
      </c>
      <c r="C1194" s="2" t="s">
        <v>93</v>
      </c>
      <c r="D1194" s="2">
        <v>2</v>
      </c>
      <c r="E1194" s="2">
        <v>606</v>
      </c>
      <c r="F1194" s="2">
        <v>123</v>
      </c>
      <c r="G1194" s="2">
        <v>201762</v>
      </c>
      <c r="H1194" s="2">
        <v>8</v>
      </c>
      <c r="I1194" s="2" t="s">
        <v>78</v>
      </c>
      <c r="J1194" s="3">
        <v>0.202970297029703</v>
      </c>
      <c r="K1194" s="21">
        <v>1640.34146341463</v>
      </c>
      <c r="L1194" s="21">
        <v>25220.25</v>
      </c>
      <c r="M1194" s="21">
        <v>75.75</v>
      </c>
      <c r="N1194" s="2" t="s">
        <v>79</v>
      </c>
    </row>
    <row r="1195" s="2" customFormat="1" spans="1:14">
      <c r="A1195" s="20">
        <v>45861</v>
      </c>
      <c r="B1195" s="2" t="s">
        <v>92</v>
      </c>
      <c r="C1195" s="2" t="s">
        <v>93</v>
      </c>
      <c r="D1195" s="2">
        <v>2</v>
      </c>
      <c r="E1195" s="2">
        <v>538</v>
      </c>
      <c r="F1195" s="2">
        <v>114</v>
      </c>
      <c r="G1195" s="2">
        <v>139453</v>
      </c>
      <c r="H1195" s="2">
        <v>9</v>
      </c>
      <c r="I1195" s="2" t="s">
        <v>81</v>
      </c>
      <c r="J1195" s="3">
        <v>0.211895910780669</v>
      </c>
      <c r="K1195" s="21">
        <v>1223.27192982456</v>
      </c>
      <c r="L1195" s="21">
        <v>15494.7777777778</v>
      </c>
      <c r="M1195" s="21">
        <v>59.7777777777778</v>
      </c>
      <c r="N1195" s="2" t="s">
        <v>79</v>
      </c>
    </row>
    <row r="1196" s="2" customFormat="1" spans="1:14">
      <c r="A1196" s="20">
        <v>45862</v>
      </c>
      <c r="B1196" s="2" t="s">
        <v>92</v>
      </c>
      <c r="C1196" s="2" t="s">
        <v>93</v>
      </c>
      <c r="D1196" s="2">
        <v>2</v>
      </c>
      <c r="E1196" s="2">
        <v>664</v>
      </c>
      <c r="F1196" s="2">
        <v>127</v>
      </c>
      <c r="G1196" s="2">
        <v>164470</v>
      </c>
      <c r="H1196" s="2">
        <v>7</v>
      </c>
      <c r="I1196" s="2" t="s">
        <v>81</v>
      </c>
      <c r="J1196" s="3">
        <v>0.191265060240964</v>
      </c>
      <c r="K1196" s="21">
        <v>1295.03937007874</v>
      </c>
      <c r="L1196" s="21">
        <v>23495.7142857143</v>
      </c>
      <c r="M1196" s="21">
        <v>94.8571428571429</v>
      </c>
      <c r="N1196" s="2" t="s">
        <v>79</v>
      </c>
    </row>
    <row r="1197" s="2" customFormat="1" spans="1:14">
      <c r="A1197" s="20">
        <v>45863</v>
      </c>
      <c r="B1197" s="2" t="s">
        <v>92</v>
      </c>
      <c r="C1197" s="2" t="s">
        <v>93</v>
      </c>
      <c r="D1197" s="2">
        <v>2</v>
      </c>
      <c r="E1197" s="2">
        <v>674</v>
      </c>
      <c r="F1197" s="2">
        <v>143</v>
      </c>
      <c r="G1197" s="2">
        <v>188750</v>
      </c>
      <c r="H1197" s="2">
        <v>9</v>
      </c>
      <c r="I1197" s="2" t="s">
        <v>78</v>
      </c>
      <c r="J1197" s="3">
        <v>0.212166172106825</v>
      </c>
      <c r="K1197" s="21">
        <v>1319.93006993007</v>
      </c>
      <c r="L1197" s="21">
        <v>20972.2222222222</v>
      </c>
      <c r="M1197" s="21">
        <v>74.8888888888889</v>
      </c>
      <c r="N1197" s="2" t="s">
        <v>79</v>
      </c>
    </row>
    <row r="1198" s="2" customFormat="1" spans="1:14">
      <c r="A1198" s="20">
        <v>45864</v>
      </c>
      <c r="B1198" s="2" t="s">
        <v>92</v>
      </c>
      <c r="C1198" s="2" t="s">
        <v>93</v>
      </c>
      <c r="D1198" s="2">
        <v>2</v>
      </c>
      <c r="E1198" s="2">
        <v>1070</v>
      </c>
      <c r="F1198" s="2">
        <v>231</v>
      </c>
      <c r="G1198" s="2">
        <v>362789</v>
      </c>
      <c r="H1198" s="2">
        <v>9</v>
      </c>
      <c r="I1198" s="2" t="s">
        <v>78</v>
      </c>
      <c r="J1198" s="3">
        <v>0.21588785046729</v>
      </c>
      <c r="K1198" s="21">
        <v>1570.51515151515</v>
      </c>
      <c r="L1198" s="21">
        <v>40309.8888888889</v>
      </c>
      <c r="M1198" s="21">
        <v>118.888888888889</v>
      </c>
      <c r="N1198" s="2" t="s">
        <v>80</v>
      </c>
    </row>
    <row r="1199" s="2" customFormat="1" spans="1:14">
      <c r="A1199" s="20">
        <v>45865</v>
      </c>
      <c r="B1199" s="2" t="s">
        <v>92</v>
      </c>
      <c r="C1199" s="2" t="s">
        <v>93</v>
      </c>
      <c r="D1199" s="2">
        <v>2</v>
      </c>
      <c r="E1199" s="2">
        <v>899</v>
      </c>
      <c r="F1199" s="2">
        <v>187</v>
      </c>
      <c r="G1199" s="2">
        <v>311097</v>
      </c>
      <c r="H1199" s="2">
        <v>6</v>
      </c>
      <c r="I1199" s="2" t="s">
        <v>81</v>
      </c>
      <c r="J1199" s="3">
        <v>0.208008898776418</v>
      </c>
      <c r="K1199" s="21">
        <v>1663.62032085562</v>
      </c>
      <c r="L1199" s="21">
        <v>51849.5</v>
      </c>
      <c r="M1199" s="21">
        <v>149.833333333333</v>
      </c>
      <c r="N1199" s="2" t="s">
        <v>80</v>
      </c>
    </row>
    <row r="1200" s="2" customFormat="1" spans="1:14">
      <c r="A1200" s="20">
        <v>45866</v>
      </c>
      <c r="B1200" s="2" t="s">
        <v>92</v>
      </c>
      <c r="C1200" s="2" t="s">
        <v>93</v>
      </c>
      <c r="D1200" s="2">
        <v>2</v>
      </c>
      <c r="E1200" s="2">
        <v>527</v>
      </c>
      <c r="F1200" s="2">
        <v>114</v>
      </c>
      <c r="G1200" s="2">
        <v>155072</v>
      </c>
      <c r="H1200" s="2">
        <v>7</v>
      </c>
      <c r="I1200" s="2" t="s">
        <v>78</v>
      </c>
      <c r="J1200" s="3">
        <v>0.216318785578748</v>
      </c>
      <c r="K1200" s="21">
        <v>1360.28070175439</v>
      </c>
      <c r="L1200" s="21">
        <v>22153.1428571429</v>
      </c>
      <c r="M1200" s="21">
        <v>75.2857142857143</v>
      </c>
      <c r="N1200" s="2" t="s">
        <v>79</v>
      </c>
    </row>
    <row r="1201" s="2" customFormat="1" spans="1:14">
      <c r="A1201" s="20">
        <v>45867</v>
      </c>
      <c r="B1201" s="2" t="s">
        <v>92</v>
      </c>
      <c r="C1201" s="2" t="s">
        <v>93</v>
      </c>
      <c r="D1201" s="2">
        <v>2</v>
      </c>
      <c r="E1201" s="2">
        <v>512</v>
      </c>
      <c r="F1201" s="2">
        <v>109</v>
      </c>
      <c r="G1201" s="2">
        <v>147587</v>
      </c>
      <c r="H1201" s="2">
        <v>8</v>
      </c>
      <c r="I1201" s="2" t="s">
        <v>81</v>
      </c>
      <c r="J1201" s="3">
        <v>0.212890625</v>
      </c>
      <c r="K1201" s="21">
        <v>1354.00917431193</v>
      </c>
      <c r="L1201" s="21">
        <v>18448.375</v>
      </c>
      <c r="M1201" s="21">
        <v>64</v>
      </c>
      <c r="N1201" s="2" t="s">
        <v>79</v>
      </c>
    </row>
    <row r="1202" s="2" customFormat="1" spans="1:14">
      <c r="A1202" s="20">
        <v>45868</v>
      </c>
      <c r="B1202" s="2" t="s">
        <v>92</v>
      </c>
      <c r="C1202" s="2" t="s">
        <v>93</v>
      </c>
      <c r="D1202" s="2">
        <v>2</v>
      </c>
      <c r="E1202" s="2">
        <v>479</v>
      </c>
      <c r="F1202" s="2">
        <v>96</v>
      </c>
      <c r="G1202" s="2">
        <v>136340</v>
      </c>
      <c r="H1202" s="2">
        <v>8</v>
      </c>
      <c r="I1202" s="2" t="s">
        <v>78</v>
      </c>
      <c r="J1202" s="3">
        <v>0.200417536534447</v>
      </c>
      <c r="K1202" s="21">
        <v>1420.20833333333</v>
      </c>
      <c r="L1202" s="21">
        <v>17042.5</v>
      </c>
      <c r="M1202" s="21">
        <v>59.875</v>
      </c>
      <c r="N1202" s="2" t="s">
        <v>79</v>
      </c>
    </row>
    <row r="1203" s="2" customFormat="1" spans="1:14">
      <c r="A1203" s="20">
        <v>45869</v>
      </c>
      <c r="B1203" s="2" t="s">
        <v>92</v>
      </c>
      <c r="C1203" s="2" t="s">
        <v>93</v>
      </c>
      <c r="D1203" s="2">
        <v>2</v>
      </c>
      <c r="E1203" s="2">
        <v>590</v>
      </c>
      <c r="F1203" s="2">
        <v>112</v>
      </c>
      <c r="G1203" s="2">
        <v>168417</v>
      </c>
      <c r="H1203" s="2">
        <v>6</v>
      </c>
      <c r="I1203" s="2" t="s">
        <v>78</v>
      </c>
      <c r="J1203" s="3">
        <v>0.189830508474576</v>
      </c>
      <c r="K1203" s="21">
        <v>1503.72321428571</v>
      </c>
      <c r="L1203" s="21">
        <v>28069.5</v>
      </c>
      <c r="M1203" s="21">
        <v>98.3333333333333</v>
      </c>
      <c r="N1203" s="2" t="s">
        <v>79</v>
      </c>
    </row>
    <row r="1204" s="2" customFormat="1" spans="1:14">
      <c r="A1204" s="20">
        <v>45870</v>
      </c>
      <c r="B1204" s="2" t="s">
        <v>92</v>
      </c>
      <c r="C1204" s="2" t="s">
        <v>93</v>
      </c>
      <c r="D1204" s="2">
        <v>2</v>
      </c>
      <c r="E1204" s="2">
        <v>708</v>
      </c>
      <c r="F1204" s="2">
        <v>136</v>
      </c>
      <c r="G1204" s="2">
        <v>159893</v>
      </c>
      <c r="H1204" s="2">
        <v>5</v>
      </c>
      <c r="I1204" s="2" t="s">
        <v>78</v>
      </c>
      <c r="J1204" s="3">
        <v>0.192090395480226</v>
      </c>
      <c r="K1204" s="21">
        <v>1175.68382352941</v>
      </c>
      <c r="L1204" s="21">
        <v>31978.6</v>
      </c>
      <c r="M1204" s="21">
        <v>141.6</v>
      </c>
      <c r="N1204" s="2" t="s">
        <v>79</v>
      </c>
    </row>
    <row r="1205" s="2" customFormat="1" spans="1:14">
      <c r="A1205" s="20">
        <v>45871</v>
      </c>
      <c r="B1205" s="2" t="s">
        <v>92</v>
      </c>
      <c r="C1205" s="2" t="s">
        <v>93</v>
      </c>
      <c r="D1205" s="2">
        <v>2</v>
      </c>
      <c r="E1205" s="2">
        <v>887</v>
      </c>
      <c r="F1205" s="2">
        <v>196</v>
      </c>
      <c r="G1205" s="2">
        <v>324698</v>
      </c>
      <c r="H1205" s="2">
        <v>8</v>
      </c>
      <c r="I1205" s="2" t="s">
        <v>78</v>
      </c>
      <c r="J1205" s="3">
        <v>0.220969560315671</v>
      </c>
      <c r="K1205" s="21">
        <v>1656.62244897959</v>
      </c>
      <c r="L1205" s="21">
        <v>40587.25</v>
      </c>
      <c r="M1205" s="21">
        <v>110.875</v>
      </c>
      <c r="N1205" s="2" t="s">
        <v>80</v>
      </c>
    </row>
    <row r="1206" s="2" customFormat="1" spans="1:14">
      <c r="A1206" s="20">
        <v>45872</v>
      </c>
      <c r="B1206" s="2" t="s">
        <v>92</v>
      </c>
      <c r="C1206" s="2" t="s">
        <v>93</v>
      </c>
      <c r="D1206" s="2">
        <v>2</v>
      </c>
      <c r="E1206" s="2">
        <v>974</v>
      </c>
      <c r="F1206" s="2">
        <v>193</v>
      </c>
      <c r="G1206" s="2">
        <v>243101</v>
      </c>
      <c r="H1206" s="2">
        <v>7</v>
      </c>
      <c r="I1206" s="2" t="s">
        <v>81</v>
      </c>
      <c r="J1206" s="3">
        <v>0.198151950718686</v>
      </c>
      <c r="K1206" s="21">
        <v>1259.59067357513</v>
      </c>
      <c r="L1206" s="21">
        <v>34728.7142857143</v>
      </c>
      <c r="M1206" s="21">
        <v>139.142857142857</v>
      </c>
      <c r="N1206" s="2" t="s">
        <v>80</v>
      </c>
    </row>
    <row r="1207" s="2" customFormat="1" spans="1:14">
      <c r="A1207" s="20">
        <v>45873</v>
      </c>
      <c r="B1207" s="2" t="s">
        <v>92</v>
      </c>
      <c r="C1207" s="2" t="s">
        <v>93</v>
      </c>
      <c r="D1207" s="2">
        <v>2</v>
      </c>
      <c r="E1207" s="2">
        <v>599</v>
      </c>
      <c r="F1207" s="2">
        <v>125</v>
      </c>
      <c r="G1207" s="2">
        <v>172817</v>
      </c>
      <c r="H1207" s="2">
        <v>7</v>
      </c>
      <c r="I1207" s="2" t="s">
        <v>78</v>
      </c>
      <c r="J1207" s="3">
        <v>0.208681135225376</v>
      </c>
      <c r="K1207" s="21">
        <v>1382.536</v>
      </c>
      <c r="L1207" s="21">
        <v>24688.1428571429</v>
      </c>
      <c r="M1207" s="21">
        <v>85.5714285714286</v>
      </c>
      <c r="N1207" s="2" t="s">
        <v>79</v>
      </c>
    </row>
    <row r="1208" s="2" customFormat="1" spans="1:14">
      <c r="A1208" s="20">
        <v>45874</v>
      </c>
      <c r="B1208" s="2" t="s">
        <v>92</v>
      </c>
      <c r="C1208" s="2" t="s">
        <v>93</v>
      </c>
      <c r="D1208" s="2">
        <v>2</v>
      </c>
      <c r="E1208" s="2">
        <v>618</v>
      </c>
      <c r="F1208" s="2">
        <v>137</v>
      </c>
      <c r="G1208" s="2">
        <v>165589</v>
      </c>
      <c r="H1208" s="2">
        <v>5</v>
      </c>
      <c r="I1208" s="2" t="s">
        <v>81</v>
      </c>
      <c r="J1208" s="3">
        <v>0.22168284789644</v>
      </c>
      <c r="K1208" s="21">
        <v>1208.67883211679</v>
      </c>
      <c r="L1208" s="21">
        <v>33117.8</v>
      </c>
      <c r="M1208" s="21">
        <v>123.6</v>
      </c>
      <c r="N1208" s="2" t="s">
        <v>79</v>
      </c>
    </row>
    <row r="1209" s="2" customFormat="1" spans="1:14">
      <c r="A1209" s="20">
        <v>45875</v>
      </c>
      <c r="B1209" s="2" t="s">
        <v>92</v>
      </c>
      <c r="C1209" s="2" t="s">
        <v>93</v>
      </c>
      <c r="D1209" s="2">
        <v>2</v>
      </c>
      <c r="E1209" s="2">
        <v>577</v>
      </c>
      <c r="F1209" s="2">
        <v>112</v>
      </c>
      <c r="G1209" s="2">
        <v>158296</v>
      </c>
      <c r="H1209" s="2">
        <v>6</v>
      </c>
      <c r="I1209" s="2" t="s">
        <v>78</v>
      </c>
      <c r="J1209" s="3">
        <v>0.194107452339688</v>
      </c>
      <c r="K1209" s="21">
        <v>1413.35714285714</v>
      </c>
      <c r="L1209" s="21">
        <v>26382.6666666667</v>
      </c>
      <c r="M1209" s="21">
        <v>96.1666666666667</v>
      </c>
      <c r="N1209" s="2" t="s">
        <v>79</v>
      </c>
    </row>
    <row r="1210" s="2" customFormat="1" spans="1:14">
      <c r="A1210" s="20">
        <v>45876</v>
      </c>
      <c r="B1210" s="2" t="s">
        <v>92</v>
      </c>
      <c r="C1210" s="2" t="s">
        <v>93</v>
      </c>
      <c r="D1210" s="2">
        <v>2</v>
      </c>
      <c r="E1210" s="2">
        <v>633</v>
      </c>
      <c r="F1210" s="2">
        <v>131</v>
      </c>
      <c r="G1210" s="2">
        <v>210121</v>
      </c>
      <c r="H1210" s="2">
        <v>4</v>
      </c>
      <c r="I1210" s="2" t="s">
        <v>78</v>
      </c>
      <c r="J1210" s="3">
        <v>0.20695102685624</v>
      </c>
      <c r="K1210" s="21">
        <v>1603.97709923664</v>
      </c>
      <c r="L1210" s="21">
        <v>52530.25</v>
      </c>
      <c r="M1210" s="21">
        <v>158.25</v>
      </c>
      <c r="N1210" s="2" t="s">
        <v>79</v>
      </c>
    </row>
    <row r="1211" s="2" customFormat="1" spans="1:14">
      <c r="A1211" s="20">
        <v>45877</v>
      </c>
      <c r="B1211" s="2" t="s">
        <v>92</v>
      </c>
      <c r="C1211" s="2" t="s">
        <v>93</v>
      </c>
      <c r="D1211" s="2">
        <v>2</v>
      </c>
      <c r="E1211" s="2">
        <v>567</v>
      </c>
      <c r="F1211" s="2">
        <v>116</v>
      </c>
      <c r="G1211" s="2">
        <v>153725</v>
      </c>
      <c r="H1211" s="2">
        <v>6</v>
      </c>
      <c r="I1211" s="2" t="s">
        <v>78</v>
      </c>
      <c r="J1211" s="3">
        <v>0.204585537918871</v>
      </c>
      <c r="K1211" s="21">
        <v>1325.21551724138</v>
      </c>
      <c r="L1211" s="21">
        <v>25620.8333333333</v>
      </c>
      <c r="M1211" s="21">
        <v>94.5</v>
      </c>
      <c r="N1211" s="2" t="s">
        <v>79</v>
      </c>
    </row>
    <row r="1212" s="2" customFormat="1" spans="1:14">
      <c r="A1212" s="20">
        <v>45878</v>
      </c>
      <c r="B1212" s="2" t="s">
        <v>92</v>
      </c>
      <c r="C1212" s="2" t="s">
        <v>93</v>
      </c>
      <c r="D1212" s="2">
        <v>2</v>
      </c>
      <c r="E1212" s="2">
        <v>926</v>
      </c>
      <c r="F1212" s="2">
        <v>177</v>
      </c>
      <c r="G1212" s="2">
        <v>288475</v>
      </c>
      <c r="H1212" s="2">
        <v>5</v>
      </c>
      <c r="I1212" s="2" t="s">
        <v>78</v>
      </c>
      <c r="J1212" s="3">
        <v>0.191144708423326</v>
      </c>
      <c r="K1212" s="21">
        <v>1629.80225988701</v>
      </c>
      <c r="L1212" s="21">
        <v>57695</v>
      </c>
      <c r="M1212" s="21">
        <v>185.2</v>
      </c>
      <c r="N1212" s="2" t="s">
        <v>80</v>
      </c>
    </row>
    <row r="1213" s="2" customFormat="1" spans="1:14">
      <c r="A1213" s="20">
        <v>45879</v>
      </c>
      <c r="B1213" s="2" t="s">
        <v>92</v>
      </c>
      <c r="C1213" s="2" t="s">
        <v>93</v>
      </c>
      <c r="D1213" s="2">
        <v>2</v>
      </c>
      <c r="E1213" s="2">
        <v>908</v>
      </c>
      <c r="F1213" s="2">
        <v>170</v>
      </c>
      <c r="G1213" s="2">
        <v>200847</v>
      </c>
      <c r="H1213" s="2">
        <v>5</v>
      </c>
      <c r="I1213" s="2" t="s">
        <v>81</v>
      </c>
      <c r="J1213" s="3">
        <v>0.187224669603524</v>
      </c>
      <c r="K1213" s="21">
        <v>1181.45294117647</v>
      </c>
      <c r="L1213" s="21">
        <v>40169.4</v>
      </c>
      <c r="M1213" s="21">
        <v>181.6</v>
      </c>
      <c r="N1213" s="2" t="s">
        <v>80</v>
      </c>
    </row>
    <row r="1214" s="2" customFormat="1" spans="1:14">
      <c r="A1214" s="20">
        <v>45880</v>
      </c>
      <c r="B1214" s="2" t="s">
        <v>92</v>
      </c>
      <c r="C1214" s="2" t="s">
        <v>93</v>
      </c>
      <c r="D1214" s="2">
        <v>2</v>
      </c>
      <c r="E1214" s="2">
        <v>502</v>
      </c>
      <c r="F1214" s="2">
        <v>103</v>
      </c>
      <c r="G1214" s="2">
        <v>167434</v>
      </c>
      <c r="H1214" s="2">
        <v>9</v>
      </c>
      <c r="I1214" s="2" t="s">
        <v>78</v>
      </c>
      <c r="J1214" s="3">
        <v>0.205179282868526</v>
      </c>
      <c r="K1214" s="21">
        <v>1625.57281553398</v>
      </c>
      <c r="L1214" s="21">
        <v>18603.7777777778</v>
      </c>
      <c r="M1214" s="21">
        <v>55.7777777777778</v>
      </c>
      <c r="N1214" s="2" t="s">
        <v>79</v>
      </c>
    </row>
    <row r="1215" s="2" customFormat="1" spans="1:14">
      <c r="A1215" s="20">
        <v>45881</v>
      </c>
      <c r="B1215" s="2" t="s">
        <v>92</v>
      </c>
      <c r="C1215" s="2" t="s">
        <v>93</v>
      </c>
      <c r="D1215" s="2">
        <v>2</v>
      </c>
      <c r="E1215" s="2">
        <v>479</v>
      </c>
      <c r="F1215" s="2">
        <v>104</v>
      </c>
      <c r="G1215" s="2">
        <v>140526</v>
      </c>
      <c r="H1215" s="2">
        <v>6</v>
      </c>
      <c r="I1215" s="2" t="s">
        <v>78</v>
      </c>
      <c r="J1215" s="3">
        <v>0.217118997912317</v>
      </c>
      <c r="K1215" s="21">
        <v>1351.21153846154</v>
      </c>
      <c r="L1215" s="21">
        <v>23421</v>
      </c>
      <c r="M1215" s="21">
        <v>79.8333333333333</v>
      </c>
      <c r="N1215" s="2" t="s">
        <v>79</v>
      </c>
    </row>
    <row r="1216" s="2" customFormat="1" spans="1:14">
      <c r="A1216" s="20">
        <v>45882</v>
      </c>
      <c r="B1216" s="2" t="s">
        <v>92</v>
      </c>
      <c r="C1216" s="2" t="s">
        <v>93</v>
      </c>
      <c r="D1216" s="2">
        <v>2</v>
      </c>
      <c r="E1216" s="2">
        <v>674</v>
      </c>
      <c r="F1216" s="2">
        <v>137</v>
      </c>
      <c r="G1216" s="2">
        <v>189033</v>
      </c>
      <c r="H1216" s="2">
        <v>6</v>
      </c>
      <c r="I1216" s="2" t="s">
        <v>81</v>
      </c>
      <c r="J1216" s="3">
        <v>0.20326409495549</v>
      </c>
      <c r="K1216" s="21">
        <v>1379.80291970803</v>
      </c>
      <c r="L1216" s="21">
        <v>31505.5</v>
      </c>
      <c r="M1216" s="21">
        <v>112.333333333333</v>
      </c>
      <c r="N1216" s="2" t="s">
        <v>79</v>
      </c>
    </row>
    <row r="1217" s="2" customFormat="1" spans="1:14">
      <c r="A1217" s="20">
        <v>45883</v>
      </c>
      <c r="B1217" s="2" t="s">
        <v>92</v>
      </c>
      <c r="C1217" s="2" t="s">
        <v>93</v>
      </c>
      <c r="D1217" s="2">
        <v>2</v>
      </c>
      <c r="E1217" s="2">
        <v>704</v>
      </c>
      <c r="F1217" s="2">
        <v>136</v>
      </c>
      <c r="G1217" s="2">
        <v>228017</v>
      </c>
      <c r="H1217" s="2">
        <v>6</v>
      </c>
      <c r="I1217" s="2" t="s">
        <v>78</v>
      </c>
      <c r="J1217" s="3">
        <v>0.193181818181818</v>
      </c>
      <c r="K1217" s="21">
        <v>1676.59558823529</v>
      </c>
      <c r="L1217" s="21">
        <v>38002.8333333333</v>
      </c>
      <c r="M1217" s="21">
        <v>117.333333333333</v>
      </c>
      <c r="N1217" s="2" t="s">
        <v>79</v>
      </c>
    </row>
    <row r="1218" s="2" customFormat="1" spans="1:14">
      <c r="A1218" s="20">
        <v>45884</v>
      </c>
      <c r="B1218" s="2" t="s">
        <v>92</v>
      </c>
      <c r="C1218" s="2" t="s">
        <v>93</v>
      </c>
      <c r="D1218" s="2">
        <v>2</v>
      </c>
      <c r="E1218" s="2">
        <v>602</v>
      </c>
      <c r="F1218" s="2">
        <v>135</v>
      </c>
      <c r="G1218" s="2">
        <v>227833</v>
      </c>
      <c r="H1218" s="2">
        <v>6</v>
      </c>
      <c r="I1218" s="2" t="s">
        <v>78</v>
      </c>
      <c r="J1218" s="3">
        <v>0.224252491694352</v>
      </c>
      <c r="K1218" s="21">
        <v>1687.65185185185</v>
      </c>
      <c r="L1218" s="21">
        <v>37972.1666666667</v>
      </c>
      <c r="M1218" s="21">
        <v>100.333333333333</v>
      </c>
      <c r="N1218" s="2" t="s">
        <v>79</v>
      </c>
    </row>
    <row r="1219" s="2" customFormat="1" spans="1:14">
      <c r="A1219" s="20">
        <v>45885</v>
      </c>
      <c r="B1219" s="2" t="s">
        <v>92</v>
      </c>
      <c r="C1219" s="2" t="s">
        <v>93</v>
      </c>
      <c r="D1219" s="2">
        <v>2</v>
      </c>
      <c r="E1219" s="2">
        <v>973</v>
      </c>
      <c r="F1219" s="2">
        <v>216</v>
      </c>
      <c r="G1219" s="2">
        <v>311566</v>
      </c>
      <c r="H1219" s="2">
        <v>9</v>
      </c>
      <c r="I1219" s="2" t="s">
        <v>78</v>
      </c>
      <c r="J1219" s="3">
        <v>0.221993833504625</v>
      </c>
      <c r="K1219" s="21">
        <v>1442.43518518518</v>
      </c>
      <c r="L1219" s="21">
        <v>34618.4444444445</v>
      </c>
      <c r="M1219" s="21">
        <v>108.111111111111</v>
      </c>
      <c r="N1219" s="2" t="s">
        <v>80</v>
      </c>
    </row>
    <row r="1220" s="2" customFormat="1" spans="1:14">
      <c r="A1220" s="20">
        <v>45886</v>
      </c>
      <c r="B1220" s="2" t="s">
        <v>92</v>
      </c>
      <c r="C1220" s="2" t="s">
        <v>93</v>
      </c>
      <c r="D1220" s="2">
        <v>2</v>
      </c>
      <c r="E1220" s="2">
        <v>961</v>
      </c>
      <c r="F1220" s="2">
        <v>192</v>
      </c>
      <c r="G1220" s="2">
        <v>325524</v>
      </c>
      <c r="H1220" s="2">
        <v>4</v>
      </c>
      <c r="I1220" s="2" t="s">
        <v>78</v>
      </c>
      <c r="J1220" s="3">
        <v>0.199791883454735</v>
      </c>
      <c r="K1220" s="21">
        <v>1695.4375</v>
      </c>
      <c r="L1220" s="21">
        <v>81381</v>
      </c>
      <c r="M1220" s="21">
        <v>240.25</v>
      </c>
      <c r="N1220" s="2" t="s">
        <v>80</v>
      </c>
    </row>
    <row r="1221" s="2" customFormat="1" spans="1:14">
      <c r="A1221" s="20">
        <v>45887</v>
      </c>
      <c r="B1221" s="2" t="s">
        <v>92</v>
      </c>
      <c r="C1221" s="2" t="s">
        <v>93</v>
      </c>
      <c r="D1221" s="2">
        <v>2</v>
      </c>
      <c r="E1221" s="2">
        <v>622</v>
      </c>
      <c r="F1221" s="2">
        <v>133</v>
      </c>
      <c r="G1221" s="2">
        <v>195234</v>
      </c>
      <c r="H1221" s="2">
        <v>7</v>
      </c>
      <c r="I1221" s="2" t="s">
        <v>78</v>
      </c>
      <c r="J1221" s="3">
        <v>0.213826366559486</v>
      </c>
      <c r="K1221" s="21">
        <v>1467.92481203007</v>
      </c>
      <c r="L1221" s="21">
        <v>27890.5714285714</v>
      </c>
      <c r="M1221" s="21">
        <v>88.8571428571429</v>
      </c>
      <c r="N1221" s="2" t="s">
        <v>79</v>
      </c>
    </row>
    <row r="1222" s="2" customFormat="1" spans="1:14">
      <c r="A1222" s="20">
        <v>45888</v>
      </c>
      <c r="B1222" s="2" t="s">
        <v>92</v>
      </c>
      <c r="C1222" s="2" t="s">
        <v>93</v>
      </c>
      <c r="D1222" s="2">
        <v>2</v>
      </c>
      <c r="E1222" s="2">
        <v>583</v>
      </c>
      <c r="F1222" s="2">
        <v>117</v>
      </c>
      <c r="G1222" s="2">
        <v>192821</v>
      </c>
      <c r="H1222" s="2">
        <v>8</v>
      </c>
      <c r="I1222" s="2" t="s">
        <v>78</v>
      </c>
      <c r="J1222" s="3">
        <v>0.200686106346484</v>
      </c>
      <c r="K1222" s="21">
        <v>1648.04273504274</v>
      </c>
      <c r="L1222" s="21">
        <v>24102.625</v>
      </c>
      <c r="M1222" s="21">
        <v>72.875</v>
      </c>
      <c r="N1222" s="2" t="s">
        <v>79</v>
      </c>
    </row>
    <row r="1223" s="2" customFormat="1" spans="1:14">
      <c r="A1223" s="20">
        <v>45889</v>
      </c>
      <c r="B1223" s="2" t="s">
        <v>92</v>
      </c>
      <c r="C1223" s="2" t="s">
        <v>93</v>
      </c>
      <c r="D1223" s="2">
        <v>2</v>
      </c>
      <c r="E1223" s="2">
        <v>655</v>
      </c>
      <c r="F1223" s="2">
        <v>130</v>
      </c>
      <c r="G1223" s="2">
        <v>170171</v>
      </c>
      <c r="H1223" s="2">
        <v>5</v>
      </c>
      <c r="I1223" s="2" t="s">
        <v>78</v>
      </c>
      <c r="J1223" s="3">
        <v>0.198473282442748</v>
      </c>
      <c r="K1223" s="21">
        <v>1309.00769230769</v>
      </c>
      <c r="L1223" s="21">
        <v>34034.2</v>
      </c>
      <c r="M1223" s="21">
        <v>131</v>
      </c>
      <c r="N1223" s="2" t="s">
        <v>79</v>
      </c>
    </row>
    <row r="1224" s="2" customFormat="1" spans="1:14">
      <c r="A1224" s="20">
        <v>45890</v>
      </c>
      <c r="B1224" s="2" t="s">
        <v>92</v>
      </c>
      <c r="C1224" s="2" t="s">
        <v>93</v>
      </c>
      <c r="D1224" s="2">
        <v>2</v>
      </c>
      <c r="E1224" s="2">
        <v>766</v>
      </c>
      <c r="F1224" s="2">
        <v>148</v>
      </c>
      <c r="G1224" s="2">
        <v>236476</v>
      </c>
      <c r="H1224" s="2">
        <v>4</v>
      </c>
      <c r="I1224" s="2" t="s">
        <v>78</v>
      </c>
      <c r="J1224" s="3">
        <v>0.193211488250653</v>
      </c>
      <c r="K1224" s="21">
        <v>1597.81081081081</v>
      </c>
      <c r="L1224" s="21">
        <v>59119</v>
      </c>
      <c r="M1224" s="21">
        <v>191.5</v>
      </c>
      <c r="N1224" s="2" t="s">
        <v>79</v>
      </c>
    </row>
    <row r="1225" s="2" customFormat="1" spans="1:14">
      <c r="A1225" s="20">
        <v>45891</v>
      </c>
      <c r="B1225" s="2" t="s">
        <v>92</v>
      </c>
      <c r="C1225" s="2" t="s">
        <v>93</v>
      </c>
      <c r="D1225" s="2">
        <v>2</v>
      </c>
      <c r="E1225" s="2">
        <v>667</v>
      </c>
      <c r="F1225" s="2">
        <v>139</v>
      </c>
      <c r="G1225" s="2">
        <v>225001</v>
      </c>
      <c r="H1225" s="2">
        <v>6</v>
      </c>
      <c r="I1225" s="2" t="s">
        <v>78</v>
      </c>
      <c r="J1225" s="3">
        <v>0.208395802098951</v>
      </c>
      <c r="K1225" s="21">
        <v>1618.71223021583</v>
      </c>
      <c r="L1225" s="21">
        <v>37500.1666666667</v>
      </c>
      <c r="M1225" s="21">
        <v>111.166666666667</v>
      </c>
      <c r="N1225" s="2" t="s">
        <v>79</v>
      </c>
    </row>
    <row r="1226" s="2" customFormat="1" spans="1:14">
      <c r="A1226" s="20">
        <v>45892</v>
      </c>
      <c r="B1226" s="2" t="s">
        <v>92</v>
      </c>
      <c r="C1226" s="2" t="s">
        <v>93</v>
      </c>
      <c r="D1226" s="2">
        <v>2</v>
      </c>
      <c r="E1226" s="2">
        <v>689</v>
      </c>
      <c r="F1226" s="2">
        <v>138</v>
      </c>
      <c r="G1226" s="2">
        <v>217780</v>
      </c>
      <c r="H1226" s="2">
        <v>5</v>
      </c>
      <c r="I1226" s="2" t="s">
        <v>78</v>
      </c>
      <c r="J1226" s="3">
        <v>0.200290275761974</v>
      </c>
      <c r="K1226" s="21">
        <v>1578.11594202899</v>
      </c>
      <c r="L1226" s="21">
        <v>43556</v>
      </c>
      <c r="M1226" s="21">
        <v>137.8</v>
      </c>
      <c r="N1226" s="2" t="s">
        <v>80</v>
      </c>
    </row>
    <row r="1227" s="2" customFormat="1" spans="1:14">
      <c r="A1227" s="20">
        <v>45893</v>
      </c>
      <c r="B1227" s="2" t="s">
        <v>92</v>
      </c>
      <c r="C1227" s="2" t="s">
        <v>93</v>
      </c>
      <c r="D1227" s="2">
        <v>2</v>
      </c>
      <c r="E1227" s="2">
        <v>699</v>
      </c>
      <c r="F1227" s="2">
        <v>142</v>
      </c>
      <c r="G1227" s="2">
        <v>237062</v>
      </c>
      <c r="H1227" s="2">
        <v>4</v>
      </c>
      <c r="I1227" s="2" t="s">
        <v>78</v>
      </c>
      <c r="J1227" s="3">
        <v>0.203147353361946</v>
      </c>
      <c r="K1227" s="21">
        <v>1669.45070422535</v>
      </c>
      <c r="L1227" s="21">
        <v>59265.5</v>
      </c>
      <c r="M1227" s="21">
        <v>174.75</v>
      </c>
      <c r="N1227" s="2" t="s">
        <v>80</v>
      </c>
    </row>
    <row r="1228" s="2" customFormat="1" spans="1:14">
      <c r="A1228" s="20">
        <v>45894</v>
      </c>
      <c r="B1228" s="2" t="s">
        <v>92</v>
      </c>
      <c r="C1228" s="2" t="s">
        <v>93</v>
      </c>
      <c r="D1228" s="2">
        <v>2</v>
      </c>
      <c r="E1228" s="2">
        <v>676</v>
      </c>
      <c r="F1228" s="2">
        <v>132</v>
      </c>
      <c r="G1228" s="2">
        <v>163818</v>
      </c>
      <c r="H1228" s="2">
        <v>4</v>
      </c>
      <c r="I1228" s="2" t="s">
        <v>81</v>
      </c>
      <c r="J1228" s="3">
        <v>0.195266272189349</v>
      </c>
      <c r="K1228" s="21">
        <v>1241.04545454545</v>
      </c>
      <c r="L1228" s="21">
        <v>40954.5</v>
      </c>
      <c r="M1228" s="21">
        <v>169</v>
      </c>
      <c r="N1228" s="2" t="s">
        <v>79</v>
      </c>
    </row>
    <row r="1229" s="2" customFormat="1" spans="1:14">
      <c r="A1229" s="20">
        <v>45895</v>
      </c>
      <c r="B1229" s="2" t="s">
        <v>92</v>
      </c>
      <c r="C1229" s="2" t="s">
        <v>93</v>
      </c>
      <c r="D1229" s="2">
        <v>2</v>
      </c>
      <c r="E1229" s="2">
        <v>680</v>
      </c>
      <c r="F1229" s="2">
        <v>143</v>
      </c>
      <c r="G1229" s="2">
        <v>235808</v>
      </c>
      <c r="H1229" s="2">
        <v>4</v>
      </c>
      <c r="I1229" s="2" t="s">
        <v>78</v>
      </c>
      <c r="J1229" s="3">
        <v>0.210294117647059</v>
      </c>
      <c r="K1229" s="21">
        <v>1649.00699300699</v>
      </c>
      <c r="L1229" s="21">
        <v>58952</v>
      </c>
      <c r="M1229" s="21">
        <v>170</v>
      </c>
      <c r="N1229" s="2" t="s">
        <v>79</v>
      </c>
    </row>
    <row r="1230" s="2" customFormat="1" spans="1:14">
      <c r="A1230" s="20">
        <v>45896</v>
      </c>
      <c r="B1230" s="2" t="s">
        <v>92</v>
      </c>
      <c r="C1230" s="2" t="s">
        <v>93</v>
      </c>
      <c r="D1230" s="2">
        <v>2</v>
      </c>
      <c r="E1230" s="2">
        <v>641</v>
      </c>
      <c r="F1230" s="2">
        <v>120</v>
      </c>
      <c r="G1230" s="2">
        <v>170779</v>
      </c>
      <c r="H1230" s="2">
        <v>5</v>
      </c>
      <c r="I1230" s="2" t="s">
        <v>78</v>
      </c>
      <c r="J1230" s="3">
        <v>0.187207488299532</v>
      </c>
      <c r="K1230" s="21">
        <v>1423.15833333333</v>
      </c>
      <c r="L1230" s="21">
        <v>34155.8</v>
      </c>
      <c r="M1230" s="21">
        <v>128.2</v>
      </c>
      <c r="N1230" s="2" t="s">
        <v>79</v>
      </c>
    </row>
    <row r="1231" s="2" customFormat="1" spans="1:14">
      <c r="A1231" s="20">
        <v>45897</v>
      </c>
      <c r="B1231" s="2" t="s">
        <v>92</v>
      </c>
      <c r="C1231" s="2" t="s">
        <v>93</v>
      </c>
      <c r="D1231" s="2">
        <v>2</v>
      </c>
      <c r="E1231" s="2">
        <v>411</v>
      </c>
      <c r="F1231" s="2">
        <v>78</v>
      </c>
      <c r="G1231" s="2">
        <v>87261</v>
      </c>
      <c r="H1231" s="2">
        <v>4</v>
      </c>
      <c r="I1231" s="2" t="s">
        <v>78</v>
      </c>
      <c r="J1231" s="3">
        <v>0.18978102189781</v>
      </c>
      <c r="K1231" s="21">
        <v>1118.73076923077</v>
      </c>
      <c r="L1231" s="21">
        <v>21815.25</v>
      </c>
      <c r="M1231" s="21">
        <v>102.75</v>
      </c>
      <c r="N1231" s="2" t="s">
        <v>79</v>
      </c>
    </row>
    <row r="1232" s="2" customFormat="1" spans="1:14">
      <c r="A1232" s="20">
        <v>45898</v>
      </c>
      <c r="B1232" s="2" t="s">
        <v>92</v>
      </c>
      <c r="C1232" s="2" t="s">
        <v>93</v>
      </c>
      <c r="D1232" s="2">
        <v>2</v>
      </c>
      <c r="E1232" s="2">
        <v>528</v>
      </c>
      <c r="F1232" s="2">
        <v>115</v>
      </c>
      <c r="G1232" s="2">
        <v>139297</v>
      </c>
      <c r="H1232" s="2">
        <v>8</v>
      </c>
      <c r="I1232" s="2" t="s">
        <v>78</v>
      </c>
      <c r="J1232" s="3">
        <v>0.21780303030303</v>
      </c>
      <c r="K1232" s="21">
        <v>1211.27826086956</v>
      </c>
      <c r="L1232" s="21">
        <v>17412.125</v>
      </c>
      <c r="M1232" s="21">
        <v>66</v>
      </c>
      <c r="N1232" s="2" t="s">
        <v>79</v>
      </c>
    </row>
    <row r="1233" s="2" customFormat="1" spans="1:14">
      <c r="A1233" s="20">
        <v>45899</v>
      </c>
      <c r="B1233" s="2" t="s">
        <v>92</v>
      </c>
      <c r="C1233" s="2" t="s">
        <v>93</v>
      </c>
      <c r="D1233" s="2">
        <v>2</v>
      </c>
      <c r="E1233" s="2">
        <v>1018</v>
      </c>
      <c r="F1233" s="2">
        <v>196</v>
      </c>
      <c r="G1233" s="2">
        <v>245924</v>
      </c>
      <c r="H1233" s="2">
        <v>6</v>
      </c>
      <c r="I1233" s="2" t="s">
        <v>78</v>
      </c>
      <c r="J1233" s="3">
        <v>0.192534381139489</v>
      </c>
      <c r="K1233" s="21">
        <v>1254.71428571429</v>
      </c>
      <c r="L1233" s="21">
        <v>40987.3333333333</v>
      </c>
      <c r="M1233" s="21">
        <v>169.666666666667</v>
      </c>
      <c r="N1233" s="2" t="s">
        <v>80</v>
      </c>
    </row>
    <row r="1234" s="2" customFormat="1" spans="1:14">
      <c r="A1234" s="20">
        <v>45900</v>
      </c>
      <c r="B1234" s="2" t="s">
        <v>92</v>
      </c>
      <c r="C1234" s="2" t="s">
        <v>93</v>
      </c>
      <c r="D1234" s="2">
        <v>2</v>
      </c>
      <c r="E1234" s="2">
        <v>934</v>
      </c>
      <c r="F1234" s="2">
        <v>183</v>
      </c>
      <c r="G1234" s="2">
        <v>214255</v>
      </c>
      <c r="H1234" s="2">
        <v>8</v>
      </c>
      <c r="I1234" s="2" t="s">
        <v>78</v>
      </c>
      <c r="J1234" s="3">
        <v>0.19593147751606</v>
      </c>
      <c r="K1234" s="21">
        <v>1170.79234972678</v>
      </c>
      <c r="L1234" s="21">
        <v>26781.875</v>
      </c>
      <c r="M1234" s="21">
        <v>116.75</v>
      </c>
      <c r="N1234" s="2" t="s">
        <v>80</v>
      </c>
    </row>
    <row r="1235" s="2" customFormat="1" spans="1:14">
      <c r="A1235" s="20">
        <v>45901</v>
      </c>
      <c r="B1235" s="2" t="s">
        <v>92</v>
      </c>
      <c r="C1235" s="2" t="s">
        <v>93</v>
      </c>
      <c r="D1235" s="2">
        <v>2</v>
      </c>
      <c r="E1235" s="2">
        <v>708</v>
      </c>
      <c r="F1235" s="2">
        <v>149</v>
      </c>
      <c r="G1235" s="2">
        <v>193765</v>
      </c>
      <c r="H1235" s="2">
        <v>8</v>
      </c>
      <c r="I1235" s="2" t="s">
        <v>78</v>
      </c>
      <c r="J1235" s="3">
        <v>0.21045197740113</v>
      </c>
      <c r="K1235" s="21">
        <v>1300.43624161074</v>
      </c>
      <c r="L1235" s="21">
        <v>24220.625</v>
      </c>
      <c r="M1235" s="21">
        <v>88.5</v>
      </c>
      <c r="N1235" s="2" t="s">
        <v>79</v>
      </c>
    </row>
    <row r="1236" s="2" customFormat="1" spans="1:14">
      <c r="A1236" s="20">
        <v>45902</v>
      </c>
      <c r="B1236" s="2" t="s">
        <v>92</v>
      </c>
      <c r="C1236" s="2" t="s">
        <v>93</v>
      </c>
      <c r="D1236" s="2">
        <v>2</v>
      </c>
      <c r="E1236" s="2">
        <v>480</v>
      </c>
      <c r="F1236" s="2">
        <v>106</v>
      </c>
      <c r="G1236" s="2">
        <v>168972</v>
      </c>
      <c r="H1236" s="2">
        <v>7</v>
      </c>
      <c r="I1236" s="2" t="s">
        <v>81</v>
      </c>
      <c r="J1236" s="3">
        <v>0.220833333333333</v>
      </c>
      <c r="K1236" s="21">
        <v>1594.07547169811</v>
      </c>
      <c r="L1236" s="21">
        <v>24138.8571428571</v>
      </c>
      <c r="M1236" s="21">
        <v>68.5714285714286</v>
      </c>
      <c r="N1236" s="2" t="s">
        <v>79</v>
      </c>
    </row>
    <row r="1237" s="2" customFormat="1" spans="1:14">
      <c r="A1237" s="20">
        <v>45903</v>
      </c>
      <c r="B1237" s="2" t="s">
        <v>92</v>
      </c>
      <c r="C1237" s="2" t="s">
        <v>93</v>
      </c>
      <c r="D1237" s="2">
        <v>2</v>
      </c>
      <c r="E1237" s="2">
        <v>469</v>
      </c>
      <c r="F1237" s="2">
        <v>89</v>
      </c>
      <c r="G1237" s="2">
        <v>102467</v>
      </c>
      <c r="H1237" s="2">
        <v>7</v>
      </c>
      <c r="I1237" s="2" t="s">
        <v>78</v>
      </c>
      <c r="J1237" s="3">
        <v>0.189765458422175</v>
      </c>
      <c r="K1237" s="21">
        <v>1151.31460674157</v>
      </c>
      <c r="L1237" s="21">
        <v>14638.1428571429</v>
      </c>
      <c r="M1237" s="21">
        <v>67</v>
      </c>
      <c r="N1237" s="2" t="s">
        <v>79</v>
      </c>
    </row>
    <row r="1238" s="2" customFormat="1" spans="1:14">
      <c r="A1238" s="20">
        <v>45904</v>
      </c>
      <c r="B1238" s="2" t="s">
        <v>92</v>
      </c>
      <c r="C1238" s="2" t="s">
        <v>93</v>
      </c>
      <c r="D1238" s="2">
        <v>2</v>
      </c>
      <c r="E1238" s="2">
        <v>665</v>
      </c>
      <c r="F1238" s="2">
        <v>148</v>
      </c>
      <c r="G1238" s="2">
        <v>242360</v>
      </c>
      <c r="H1238" s="2">
        <v>7</v>
      </c>
      <c r="I1238" s="2" t="s">
        <v>81</v>
      </c>
      <c r="J1238" s="3">
        <v>0.222556390977444</v>
      </c>
      <c r="K1238" s="21">
        <v>1637.56756756757</v>
      </c>
      <c r="L1238" s="21">
        <v>34622.8571428571</v>
      </c>
      <c r="M1238" s="21">
        <v>95</v>
      </c>
      <c r="N1238" s="2" t="s">
        <v>79</v>
      </c>
    </row>
    <row r="1239" s="2" customFormat="1" spans="1:14">
      <c r="A1239" s="20">
        <v>45905</v>
      </c>
      <c r="B1239" s="2" t="s">
        <v>92</v>
      </c>
      <c r="C1239" s="2" t="s">
        <v>93</v>
      </c>
      <c r="D1239" s="2">
        <v>2</v>
      </c>
      <c r="E1239" s="2">
        <v>618</v>
      </c>
      <c r="F1239" s="2">
        <v>130</v>
      </c>
      <c r="G1239" s="2">
        <v>161681</v>
      </c>
      <c r="H1239" s="2">
        <v>9</v>
      </c>
      <c r="I1239" s="2" t="s">
        <v>78</v>
      </c>
      <c r="J1239" s="3">
        <v>0.210355987055016</v>
      </c>
      <c r="K1239" s="21">
        <v>1243.7</v>
      </c>
      <c r="L1239" s="21">
        <v>17964.5555555556</v>
      </c>
      <c r="M1239" s="21">
        <v>68.6666666666667</v>
      </c>
      <c r="N1239" s="2" t="s">
        <v>79</v>
      </c>
    </row>
    <row r="1240" s="2" customFormat="1" spans="1:14">
      <c r="A1240" s="20">
        <v>45906</v>
      </c>
      <c r="B1240" s="2" t="s">
        <v>92</v>
      </c>
      <c r="C1240" s="2" t="s">
        <v>93</v>
      </c>
      <c r="D1240" s="2">
        <v>2</v>
      </c>
      <c r="E1240" s="2">
        <v>1004</v>
      </c>
      <c r="F1240" s="2">
        <v>222</v>
      </c>
      <c r="G1240" s="2">
        <v>312165</v>
      </c>
      <c r="H1240" s="2">
        <v>6</v>
      </c>
      <c r="I1240" s="2" t="s">
        <v>78</v>
      </c>
      <c r="J1240" s="3">
        <v>0.221115537848606</v>
      </c>
      <c r="K1240" s="21">
        <v>1406.14864864865</v>
      </c>
      <c r="L1240" s="21">
        <v>52027.5</v>
      </c>
      <c r="M1240" s="21">
        <v>167.333333333333</v>
      </c>
      <c r="N1240" s="2" t="s">
        <v>80</v>
      </c>
    </row>
    <row r="1241" s="2" customFormat="1" spans="1:14">
      <c r="A1241" s="20">
        <v>45907</v>
      </c>
      <c r="B1241" s="2" t="s">
        <v>92</v>
      </c>
      <c r="C1241" s="2" t="s">
        <v>93</v>
      </c>
      <c r="D1241" s="2">
        <v>2</v>
      </c>
      <c r="E1241" s="2">
        <v>927</v>
      </c>
      <c r="F1241" s="2">
        <v>182</v>
      </c>
      <c r="G1241" s="2">
        <v>237969</v>
      </c>
      <c r="H1241" s="2">
        <v>7</v>
      </c>
      <c r="I1241" s="2" t="s">
        <v>78</v>
      </c>
      <c r="J1241" s="3">
        <v>0.196332254584682</v>
      </c>
      <c r="K1241" s="21">
        <v>1307.52197802198</v>
      </c>
      <c r="L1241" s="21">
        <v>33995.5714285714</v>
      </c>
      <c r="M1241" s="21">
        <v>132.428571428571</v>
      </c>
      <c r="N1241" s="2" t="s">
        <v>80</v>
      </c>
    </row>
    <row r="1242" s="2" customFormat="1" spans="1:14">
      <c r="A1242" s="20">
        <v>45908</v>
      </c>
      <c r="B1242" s="2" t="s">
        <v>92</v>
      </c>
      <c r="C1242" s="2" t="s">
        <v>93</v>
      </c>
      <c r="D1242" s="2">
        <v>2</v>
      </c>
      <c r="E1242" s="2">
        <v>466</v>
      </c>
      <c r="F1242" s="2">
        <v>93</v>
      </c>
      <c r="G1242" s="2">
        <v>118287</v>
      </c>
      <c r="H1242" s="2">
        <v>9</v>
      </c>
      <c r="I1242" s="2" t="s">
        <v>78</v>
      </c>
      <c r="J1242" s="3">
        <v>0.199570815450644</v>
      </c>
      <c r="K1242" s="21">
        <v>1271.90322580645</v>
      </c>
      <c r="L1242" s="21">
        <v>13143</v>
      </c>
      <c r="M1242" s="21">
        <v>51.7777777777778</v>
      </c>
      <c r="N1242" s="2" t="s">
        <v>79</v>
      </c>
    </row>
    <row r="1243" s="2" customFormat="1" spans="1:14">
      <c r="A1243" s="20">
        <v>45909</v>
      </c>
      <c r="B1243" s="2" t="s">
        <v>92</v>
      </c>
      <c r="C1243" s="2" t="s">
        <v>93</v>
      </c>
      <c r="D1243" s="2">
        <v>2</v>
      </c>
      <c r="E1243" s="2">
        <v>541</v>
      </c>
      <c r="F1243" s="2">
        <v>113</v>
      </c>
      <c r="G1243" s="2">
        <v>146109</v>
      </c>
      <c r="H1243" s="2">
        <v>6</v>
      </c>
      <c r="I1243" s="2" t="s">
        <v>78</v>
      </c>
      <c r="J1243" s="3">
        <v>0.208872458410351</v>
      </c>
      <c r="K1243" s="21">
        <v>1293</v>
      </c>
      <c r="L1243" s="21">
        <v>24351.5</v>
      </c>
      <c r="M1243" s="21">
        <v>90.1666666666667</v>
      </c>
      <c r="N1243" s="2" t="s">
        <v>79</v>
      </c>
    </row>
    <row r="1244" s="2" customFormat="1" spans="1:14">
      <c r="A1244" s="20">
        <v>45910</v>
      </c>
      <c r="B1244" s="2" t="s">
        <v>92</v>
      </c>
      <c r="C1244" s="2" t="s">
        <v>93</v>
      </c>
      <c r="D1244" s="2">
        <v>2</v>
      </c>
      <c r="E1244" s="2">
        <v>482</v>
      </c>
      <c r="F1244" s="2">
        <v>115</v>
      </c>
      <c r="G1244" s="2">
        <v>171274</v>
      </c>
      <c r="H1244" s="2">
        <v>9</v>
      </c>
      <c r="I1244" s="2" t="s">
        <v>78</v>
      </c>
      <c r="J1244" s="3">
        <v>0.238589211618257</v>
      </c>
      <c r="K1244" s="21">
        <v>1489.33913043478</v>
      </c>
      <c r="L1244" s="21">
        <v>19030.4444444444</v>
      </c>
      <c r="M1244" s="21">
        <v>53.5555555555556</v>
      </c>
      <c r="N1244" s="2" t="s">
        <v>79</v>
      </c>
    </row>
    <row r="1245" s="2" customFormat="1" spans="1:14">
      <c r="A1245" s="20">
        <v>45911</v>
      </c>
      <c r="B1245" s="2" t="s">
        <v>92</v>
      </c>
      <c r="C1245" s="2" t="s">
        <v>93</v>
      </c>
      <c r="D1245" s="2">
        <v>2</v>
      </c>
      <c r="E1245" s="2">
        <v>467</v>
      </c>
      <c r="F1245" s="2">
        <v>90</v>
      </c>
      <c r="G1245" s="2">
        <v>128933</v>
      </c>
      <c r="H1245" s="2">
        <v>7</v>
      </c>
      <c r="I1245" s="2" t="s">
        <v>78</v>
      </c>
      <c r="J1245" s="3">
        <v>0.19271948608137</v>
      </c>
      <c r="K1245" s="21">
        <v>1432.58888888889</v>
      </c>
      <c r="L1245" s="21">
        <v>18419</v>
      </c>
      <c r="M1245" s="21">
        <v>66.7142857142857</v>
      </c>
      <c r="N1245" s="2" t="s">
        <v>79</v>
      </c>
    </row>
    <row r="1246" s="2" customFormat="1" spans="1:14">
      <c r="A1246" s="20">
        <v>45912</v>
      </c>
      <c r="B1246" s="2" t="s">
        <v>92</v>
      </c>
      <c r="C1246" s="2" t="s">
        <v>93</v>
      </c>
      <c r="D1246" s="2">
        <v>2</v>
      </c>
      <c r="E1246" s="2">
        <v>582</v>
      </c>
      <c r="F1246" s="2">
        <v>126</v>
      </c>
      <c r="G1246" s="2">
        <v>184226</v>
      </c>
      <c r="H1246" s="2">
        <v>8</v>
      </c>
      <c r="I1246" s="2" t="s">
        <v>78</v>
      </c>
      <c r="J1246" s="3">
        <v>0.216494845360825</v>
      </c>
      <c r="K1246" s="21">
        <v>1462.11111111111</v>
      </c>
      <c r="L1246" s="21">
        <v>23028.25</v>
      </c>
      <c r="M1246" s="21">
        <v>72.75</v>
      </c>
      <c r="N1246" s="2" t="s">
        <v>79</v>
      </c>
    </row>
    <row r="1247" s="2" customFormat="1" spans="1:14">
      <c r="A1247" s="20">
        <v>45913</v>
      </c>
      <c r="B1247" s="2" t="s">
        <v>92</v>
      </c>
      <c r="C1247" s="2" t="s">
        <v>93</v>
      </c>
      <c r="D1247" s="2">
        <v>2</v>
      </c>
      <c r="E1247" s="2">
        <v>852</v>
      </c>
      <c r="F1247" s="2">
        <v>172</v>
      </c>
      <c r="G1247" s="2">
        <v>207768</v>
      </c>
      <c r="H1247" s="2">
        <v>7</v>
      </c>
      <c r="I1247" s="2" t="s">
        <v>78</v>
      </c>
      <c r="J1247" s="3">
        <v>0.2018779342723</v>
      </c>
      <c r="K1247" s="21">
        <v>1207.95348837209</v>
      </c>
      <c r="L1247" s="21">
        <v>29681.1428571429</v>
      </c>
      <c r="M1247" s="21">
        <v>121.714285714286</v>
      </c>
      <c r="N1247" s="2" t="s">
        <v>80</v>
      </c>
    </row>
    <row r="1248" s="2" customFormat="1" spans="1:14">
      <c r="A1248" s="20">
        <v>45914</v>
      </c>
      <c r="B1248" s="2" t="s">
        <v>92</v>
      </c>
      <c r="C1248" s="2" t="s">
        <v>93</v>
      </c>
      <c r="D1248" s="2">
        <v>2</v>
      </c>
      <c r="E1248" s="2">
        <v>770</v>
      </c>
      <c r="F1248" s="2">
        <v>172</v>
      </c>
      <c r="G1248" s="2">
        <v>229377</v>
      </c>
      <c r="H1248" s="2">
        <v>6</v>
      </c>
      <c r="I1248" s="2" t="s">
        <v>78</v>
      </c>
      <c r="J1248" s="3">
        <v>0.223376623376623</v>
      </c>
      <c r="K1248" s="21">
        <v>1333.58720930233</v>
      </c>
      <c r="L1248" s="21">
        <v>38229.5</v>
      </c>
      <c r="M1248" s="21">
        <v>128.333333333333</v>
      </c>
      <c r="N1248" s="2" t="s">
        <v>80</v>
      </c>
    </row>
    <row r="1249" s="2" customFormat="1" spans="1:14">
      <c r="A1249" s="20">
        <v>45915</v>
      </c>
      <c r="B1249" s="2" t="s">
        <v>92</v>
      </c>
      <c r="C1249" s="2" t="s">
        <v>93</v>
      </c>
      <c r="D1249" s="2">
        <v>2</v>
      </c>
      <c r="E1249" s="2">
        <v>608</v>
      </c>
      <c r="F1249" s="2">
        <v>119</v>
      </c>
      <c r="G1249" s="2">
        <v>140558</v>
      </c>
      <c r="H1249" s="2">
        <v>5</v>
      </c>
      <c r="I1249" s="2" t="s">
        <v>81</v>
      </c>
      <c r="J1249" s="3">
        <v>0.195723684210526</v>
      </c>
      <c r="K1249" s="21">
        <v>1181.15966386555</v>
      </c>
      <c r="L1249" s="21">
        <v>28111.6</v>
      </c>
      <c r="M1249" s="21">
        <v>121.6</v>
      </c>
      <c r="N1249" s="2" t="s">
        <v>79</v>
      </c>
    </row>
    <row r="1250" s="2" customFormat="1" spans="1:14">
      <c r="A1250" s="20">
        <v>45916</v>
      </c>
      <c r="B1250" s="2" t="s">
        <v>92</v>
      </c>
      <c r="C1250" s="2" t="s">
        <v>93</v>
      </c>
      <c r="D1250" s="2">
        <v>2</v>
      </c>
      <c r="E1250" s="2">
        <v>549</v>
      </c>
      <c r="F1250" s="2">
        <v>115</v>
      </c>
      <c r="G1250" s="2">
        <v>154611</v>
      </c>
      <c r="H1250" s="2">
        <v>7</v>
      </c>
      <c r="I1250" s="2" t="s">
        <v>78</v>
      </c>
      <c r="J1250" s="3">
        <v>0.209471766848816</v>
      </c>
      <c r="K1250" s="21">
        <v>1344.44347826087</v>
      </c>
      <c r="L1250" s="21">
        <v>22087.2857142857</v>
      </c>
      <c r="M1250" s="21">
        <v>78.4285714285714</v>
      </c>
      <c r="N1250" s="2" t="s">
        <v>79</v>
      </c>
    </row>
    <row r="1251" s="2" customFormat="1" spans="1:14">
      <c r="A1251" s="20">
        <v>45917</v>
      </c>
      <c r="B1251" s="2" t="s">
        <v>92</v>
      </c>
      <c r="C1251" s="2" t="s">
        <v>93</v>
      </c>
      <c r="D1251" s="2">
        <v>2</v>
      </c>
      <c r="E1251" s="2">
        <v>577</v>
      </c>
      <c r="F1251" s="2">
        <v>122</v>
      </c>
      <c r="G1251" s="2">
        <v>188129</v>
      </c>
      <c r="H1251" s="2">
        <v>9</v>
      </c>
      <c r="I1251" s="2" t="s">
        <v>78</v>
      </c>
      <c r="J1251" s="3">
        <v>0.211438474870017</v>
      </c>
      <c r="K1251" s="21">
        <v>1542.04098360656</v>
      </c>
      <c r="L1251" s="21">
        <v>20903.2222222222</v>
      </c>
      <c r="M1251" s="21">
        <v>64.1111111111111</v>
      </c>
      <c r="N1251" s="2" t="s">
        <v>79</v>
      </c>
    </row>
    <row r="1252" s="2" customFormat="1" spans="1:14">
      <c r="A1252" s="20">
        <v>45918</v>
      </c>
      <c r="B1252" s="2" t="s">
        <v>92</v>
      </c>
      <c r="C1252" s="2" t="s">
        <v>93</v>
      </c>
      <c r="D1252" s="2">
        <v>2</v>
      </c>
      <c r="E1252" s="2">
        <v>551</v>
      </c>
      <c r="F1252" s="2">
        <v>113</v>
      </c>
      <c r="G1252" s="2">
        <v>130213</v>
      </c>
      <c r="H1252" s="2">
        <v>6</v>
      </c>
      <c r="I1252" s="2" t="s">
        <v>78</v>
      </c>
      <c r="J1252" s="3">
        <v>0.20508166969147</v>
      </c>
      <c r="K1252" s="21">
        <v>1152.32743362832</v>
      </c>
      <c r="L1252" s="21">
        <v>21702.1666666667</v>
      </c>
      <c r="M1252" s="21">
        <v>91.8333333333333</v>
      </c>
      <c r="N1252" s="2" t="s">
        <v>79</v>
      </c>
    </row>
    <row r="1253" s="2" customFormat="1" spans="1:14">
      <c r="A1253" s="20">
        <v>45919</v>
      </c>
      <c r="B1253" s="2" t="s">
        <v>92</v>
      </c>
      <c r="C1253" s="2" t="s">
        <v>93</v>
      </c>
      <c r="D1253" s="2">
        <v>2</v>
      </c>
      <c r="E1253" s="2">
        <v>664</v>
      </c>
      <c r="F1253" s="2">
        <v>138</v>
      </c>
      <c r="G1253" s="2">
        <v>160654</v>
      </c>
      <c r="H1253" s="2">
        <v>4</v>
      </c>
      <c r="I1253" s="2" t="s">
        <v>81</v>
      </c>
      <c r="J1253" s="3">
        <v>0.207831325301205</v>
      </c>
      <c r="K1253" s="21">
        <v>1164.15942028986</v>
      </c>
      <c r="L1253" s="21">
        <v>40163.5</v>
      </c>
      <c r="M1253" s="21">
        <v>166</v>
      </c>
      <c r="N1253" s="2" t="s">
        <v>79</v>
      </c>
    </row>
    <row r="1254" s="2" customFormat="1" spans="1:14">
      <c r="A1254" s="20">
        <v>45920</v>
      </c>
      <c r="B1254" s="2" t="s">
        <v>92</v>
      </c>
      <c r="C1254" s="2" t="s">
        <v>93</v>
      </c>
      <c r="D1254" s="2">
        <v>2</v>
      </c>
      <c r="E1254" s="2">
        <v>1005</v>
      </c>
      <c r="F1254" s="2">
        <v>196</v>
      </c>
      <c r="G1254" s="2">
        <v>231457</v>
      </c>
      <c r="H1254" s="2">
        <v>7</v>
      </c>
      <c r="I1254" s="2" t="s">
        <v>81</v>
      </c>
      <c r="J1254" s="3">
        <v>0.195024875621891</v>
      </c>
      <c r="K1254" s="21">
        <v>1180.90306122449</v>
      </c>
      <c r="L1254" s="21">
        <v>33065.2857142857</v>
      </c>
      <c r="M1254" s="21">
        <v>143.571428571429</v>
      </c>
      <c r="N1254" s="2" t="s">
        <v>80</v>
      </c>
    </row>
    <row r="1255" s="2" customFormat="1" spans="1:14">
      <c r="A1255" s="20">
        <v>45921</v>
      </c>
      <c r="B1255" s="2" t="s">
        <v>92</v>
      </c>
      <c r="C1255" s="2" t="s">
        <v>93</v>
      </c>
      <c r="D1255" s="2">
        <v>2</v>
      </c>
      <c r="E1255" s="2">
        <v>1076</v>
      </c>
      <c r="F1255" s="2">
        <v>215</v>
      </c>
      <c r="G1255" s="2">
        <v>337655</v>
      </c>
      <c r="H1255" s="2">
        <v>7</v>
      </c>
      <c r="I1255" s="2" t="s">
        <v>78</v>
      </c>
      <c r="J1255" s="3">
        <v>0.199814126394052</v>
      </c>
      <c r="K1255" s="21">
        <v>1570.48837209302</v>
      </c>
      <c r="L1255" s="21">
        <v>48236.4285714286</v>
      </c>
      <c r="M1255" s="21">
        <v>153.714285714286</v>
      </c>
      <c r="N1255" s="2" t="s">
        <v>80</v>
      </c>
    </row>
    <row r="1256" s="2" customFormat="1" spans="1:14">
      <c r="A1256" s="20">
        <v>45922</v>
      </c>
      <c r="B1256" s="2" t="s">
        <v>92</v>
      </c>
      <c r="C1256" s="2" t="s">
        <v>93</v>
      </c>
      <c r="D1256" s="2">
        <v>2</v>
      </c>
      <c r="E1256" s="2">
        <v>637</v>
      </c>
      <c r="F1256" s="2">
        <v>125</v>
      </c>
      <c r="G1256" s="2">
        <v>154842</v>
      </c>
      <c r="H1256" s="2">
        <v>4</v>
      </c>
      <c r="I1256" s="2" t="s">
        <v>78</v>
      </c>
      <c r="J1256" s="3">
        <v>0.196232339089482</v>
      </c>
      <c r="K1256" s="21">
        <v>1238.736</v>
      </c>
      <c r="L1256" s="21">
        <v>38710.5</v>
      </c>
      <c r="M1256" s="21">
        <v>159.25</v>
      </c>
      <c r="N1256" s="2" t="s">
        <v>79</v>
      </c>
    </row>
    <row r="1257" s="2" customFormat="1" spans="1:14">
      <c r="A1257" s="20">
        <v>45923</v>
      </c>
      <c r="B1257" s="2" t="s">
        <v>92</v>
      </c>
      <c r="C1257" s="2" t="s">
        <v>93</v>
      </c>
      <c r="D1257" s="2">
        <v>2</v>
      </c>
      <c r="E1257" s="2">
        <v>672</v>
      </c>
      <c r="F1257" s="2">
        <v>145</v>
      </c>
      <c r="G1257" s="2">
        <v>198292</v>
      </c>
      <c r="H1257" s="2">
        <v>6</v>
      </c>
      <c r="I1257" s="2" t="s">
        <v>78</v>
      </c>
      <c r="J1257" s="3">
        <v>0.21577380952381</v>
      </c>
      <c r="K1257" s="21">
        <v>1367.53103448276</v>
      </c>
      <c r="L1257" s="21">
        <v>33048.6666666667</v>
      </c>
      <c r="M1257" s="21">
        <v>112</v>
      </c>
      <c r="N1257" s="2" t="s">
        <v>79</v>
      </c>
    </row>
    <row r="1258" s="2" customFormat="1" spans="1:14">
      <c r="A1258" s="20">
        <v>45924</v>
      </c>
      <c r="B1258" s="2" t="s">
        <v>92</v>
      </c>
      <c r="C1258" s="2" t="s">
        <v>93</v>
      </c>
      <c r="D1258" s="2">
        <v>2</v>
      </c>
      <c r="E1258" s="2">
        <v>550</v>
      </c>
      <c r="F1258" s="2">
        <v>104</v>
      </c>
      <c r="G1258" s="2">
        <v>122416</v>
      </c>
      <c r="H1258" s="2">
        <v>7</v>
      </c>
      <c r="I1258" s="2" t="s">
        <v>78</v>
      </c>
      <c r="J1258" s="3">
        <v>0.189090909090909</v>
      </c>
      <c r="K1258" s="21">
        <v>1177.07692307692</v>
      </c>
      <c r="L1258" s="21">
        <v>17488</v>
      </c>
      <c r="M1258" s="21">
        <v>78.5714285714286</v>
      </c>
      <c r="N1258" s="2" t="s">
        <v>79</v>
      </c>
    </row>
    <row r="1259" s="2" customFormat="1" spans="1:14">
      <c r="A1259" s="20">
        <v>45925</v>
      </c>
      <c r="B1259" s="2" t="s">
        <v>92</v>
      </c>
      <c r="C1259" s="2" t="s">
        <v>93</v>
      </c>
      <c r="D1259" s="2">
        <v>2</v>
      </c>
      <c r="E1259" s="2">
        <v>635</v>
      </c>
      <c r="F1259" s="2">
        <v>120</v>
      </c>
      <c r="G1259" s="2">
        <v>139522</v>
      </c>
      <c r="H1259" s="2">
        <v>6</v>
      </c>
      <c r="I1259" s="2" t="s">
        <v>78</v>
      </c>
      <c r="J1259" s="3">
        <v>0.188976377952756</v>
      </c>
      <c r="K1259" s="21">
        <v>1162.68333333333</v>
      </c>
      <c r="L1259" s="21">
        <v>23253.6666666667</v>
      </c>
      <c r="M1259" s="21">
        <v>105.833333333333</v>
      </c>
      <c r="N1259" s="2" t="s">
        <v>79</v>
      </c>
    </row>
    <row r="1260" s="2" customFormat="1" spans="1:14">
      <c r="A1260" s="20">
        <v>45926</v>
      </c>
      <c r="B1260" s="2" t="s">
        <v>92</v>
      </c>
      <c r="C1260" s="2" t="s">
        <v>93</v>
      </c>
      <c r="D1260" s="2">
        <v>2</v>
      </c>
      <c r="E1260" s="2">
        <v>497</v>
      </c>
      <c r="F1260" s="2">
        <v>112</v>
      </c>
      <c r="G1260" s="2">
        <v>173544</v>
      </c>
      <c r="H1260" s="2">
        <v>8</v>
      </c>
      <c r="I1260" s="2" t="s">
        <v>78</v>
      </c>
      <c r="J1260" s="3">
        <v>0.225352112676056</v>
      </c>
      <c r="K1260" s="21">
        <v>1549.5</v>
      </c>
      <c r="L1260" s="21">
        <v>21693</v>
      </c>
      <c r="M1260" s="21">
        <v>62.125</v>
      </c>
      <c r="N1260" s="2" t="s">
        <v>79</v>
      </c>
    </row>
    <row r="1261" s="2" customFormat="1" spans="1:14">
      <c r="A1261" s="20">
        <v>45927</v>
      </c>
      <c r="B1261" s="2" t="s">
        <v>92</v>
      </c>
      <c r="C1261" s="2" t="s">
        <v>93</v>
      </c>
      <c r="D1261" s="2">
        <v>2</v>
      </c>
      <c r="E1261" s="2">
        <v>846</v>
      </c>
      <c r="F1261" s="2">
        <v>198</v>
      </c>
      <c r="G1261" s="2">
        <v>328660</v>
      </c>
      <c r="H1261" s="2">
        <v>9</v>
      </c>
      <c r="I1261" s="2" t="s">
        <v>78</v>
      </c>
      <c r="J1261" s="3">
        <v>0.234042553191489</v>
      </c>
      <c r="K1261" s="21">
        <v>1659.89898989899</v>
      </c>
      <c r="L1261" s="21">
        <v>36517.7777777778</v>
      </c>
      <c r="M1261" s="21">
        <v>94</v>
      </c>
      <c r="N1261" s="2" t="s">
        <v>80</v>
      </c>
    </row>
    <row r="1262" s="2" customFormat="1" spans="1:14">
      <c r="A1262" s="20">
        <v>45748</v>
      </c>
      <c r="B1262" s="2" t="s">
        <v>94</v>
      </c>
      <c r="C1262" s="2" t="s">
        <v>95</v>
      </c>
      <c r="D1262" s="2">
        <v>3</v>
      </c>
      <c r="E1262" s="2">
        <v>449</v>
      </c>
      <c r="F1262" s="2">
        <v>67</v>
      </c>
      <c r="G1262" s="2">
        <v>75948</v>
      </c>
      <c r="H1262" s="2">
        <v>6</v>
      </c>
      <c r="I1262" s="2" t="s">
        <v>78</v>
      </c>
      <c r="J1262" s="3">
        <v>0.149220489977728</v>
      </c>
      <c r="K1262" s="21">
        <v>1133.55223880597</v>
      </c>
      <c r="L1262" s="21">
        <v>12658</v>
      </c>
      <c r="M1262" s="21">
        <v>74.8333333333333</v>
      </c>
      <c r="N1262" s="2" t="s">
        <v>79</v>
      </c>
    </row>
    <row r="1263" s="2" customFormat="1" spans="1:14">
      <c r="A1263" s="20">
        <v>45749</v>
      </c>
      <c r="B1263" s="2" t="s">
        <v>94</v>
      </c>
      <c r="C1263" s="2" t="s">
        <v>95</v>
      </c>
      <c r="D1263" s="2">
        <v>3</v>
      </c>
      <c r="E1263" s="2">
        <v>454</v>
      </c>
      <c r="F1263" s="2">
        <v>75</v>
      </c>
      <c r="G1263" s="2">
        <v>119736</v>
      </c>
      <c r="H1263" s="2">
        <v>9</v>
      </c>
      <c r="I1263" s="2" t="s">
        <v>78</v>
      </c>
      <c r="J1263" s="3">
        <v>0.165198237885463</v>
      </c>
      <c r="K1263" s="21">
        <v>1596.48</v>
      </c>
      <c r="L1263" s="21">
        <v>13304</v>
      </c>
      <c r="M1263" s="21">
        <v>50.4444444444444</v>
      </c>
      <c r="N1263" s="2" t="s">
        <v>79</v>
      </c>
    </row>
    <row r="1264" s="2" customFormat="1" spans="1:14">
      <c r="A1264" s="20">
        <v>45750</v>
      </c>
      <c r="B1264" s="2" t="s">
        <v>94</v>
      </c>
      <c r="C1264" s="2" t="s">
        <v>95</v>
      </c>
      <c r="D1264" s="2">
        <v>3</v>
      </c>
      <c r="E1264" s="2">
        <v>362</v>
      </c>
      <c r="F1264" s="2">
        <v>63</v>
      </c>
      <c r="G1264" s="2">
        <v>77006</v>
      </c>
      <c r="H1264" s="2">
        <v>7</v>
      </c>
      <c r="I1264" s="2" t="s">
        <v>78</v>
      </c>
      <c r="J1264" s="3">
        <v>0.174033149171271</v>
      </c>
      <c r="K1264" s="21">
        <v>1222.31746031746</v>
      </c>
      <c r="L1264" s="21">
        <v>11000.8571428571</v>
      </c>
      <c r="M1264" s="21">
        <v>51.7142857142857</v>
      </c>
      <c r="N1264" s="2" t="s">
        <v>79</v>
      </c>
    </row>
    <row r="1265" s="2" customFormat="1" spans="1:14">
      <c r="A1265" s="20">
        <v>45751</v>
      </c>
      <c r="B1265" s="2" t="s">
        <v>94</v>
      </c>
      <c r="C1265" s="2" t="s">
        <v>95</v>
      </c>
      <c r="D1265" s="2">
        <v>3</v>
      </c>
      <c r="E1265" s="2">
        <v>372</v>
      </c>
      <c r="F1265" s="2">
        <v>63</v>
      </c>
      <c r="G1265" s="2">
        <v>88136</v>
      </c>
      <c r="H1265" s="2">
        <v>9</v>
      </c>
      <c r="I1265" s="2" t="s">
        <v>78</v>
      </c>
      <c r="J1265" s="3">
        <v>0.169354838709677</v>
      </c>
      <c r="K1265" s="21">
        <v>1398.98412698413</v>
      </c>
      <c r="L1265" s="21">
        <v>9792.88888888889</v>
      </c>
      <c r="M1265" s="21">
        <v>41.3333333333333</v>
      </c>
      <c r="N1265" s="2" t="s">
        <v>79</v>
      </c>
    </row>
    <row r="1266" s="2" customFormat="1" spans="1:14">
      <c r="A1266" s="20">
        <v>45752</v>
      </c>
      <c r="B1266" s="2" t="s">
        <v>94</v>
      </c>
      <c r="C1266" s="2" t="s">
        <v>95</v>
      </c>
      <c r="D1266" s="2">
        <v>3</v>
      </c>
      <c r="E1266" s="2">
        <v>828</v>
      </c>
      <c r="F1266" s="2">
        <v>122</v>
      </c>
      <c r="G1266" s="2">
        <v>169559</v>
      </c>
      <c r="H1266" s="2">
        <v>7</v>
      </c>
      <c r="I1266" s="2" t="s">
        <v>78</v>
      </c>
      <c r="J1266" s="3">
        <v>0.147342995169082</v>
      </c>
      <c r="K1266" s="21">
        <v>1389.82786885246</v>
      </c>
      <c r="L1266" s="21">
        <v>24222.7142857143</v>
      </c>
      <c r="M1266" s="21">
        <v>118.285714285714</v>
      </c>
      <c r="N1266" s="2" t="s">
        <v>80</v>
      </c>
    </row>
    <row r="1267" s="2" customFormat="1" spans="1:14">
      <c r="A1267" s="20">
        <v>45753</v>
      </c>
      <c r="B1267" s="2" t="s">
        <v>94</v>
      </c>
      <c r="C1267" s="2" t="s">
        <v>95</v>
      </c>
      <c r="D1267" s="2">
        <v>3</v>
      </c>
      <c r="E1267" s="2">
        <v>697</v>
      </c>
      <c r="F1267" s="2">
        <v>99</v>
      </c>
      <c r="G1267" s="2">
        <v>109199</v>
      </c>
      <c r="H1267" s="2">
        <v>4</v>
      </c>
      <c r="I1267" s="2" t="s">
        <v>78</v>
      </c>
      <c r="J1267" s="3">
        <v>0.142037302725968</v>
      </c>
      <c r="K1267" s="21">
        <v>1103.0202020202</v>
      </c>
      <c r="L1267" s="21">
        <v>27299.75</v>
      </c>
      <c r="M1267" s="21">
        <v>174.25</v>
      </c>
      <c r="N1267" s="2" t="s">
        <v>80</v>
      </c>
    </row>
    <row r="1268" s="2" customFormat="1" spans="1:14">
      <c r="A1268" s="20">
        <v>45754</v>
      </c>
      <c r="B1268" s="2" t="s">
        <v>94</v>
      </c>
      <c r="C1268" s="2" t="s">
        <v>95</v>
      </c>
      <c r="D1268" s="2">
        <v>3</v>
      </c>
      <c r="E1268" s="2">
        <v>495</v>
      </c>
      <c r="F1268" s="2">
        <v>71</v>
      </c>
      <c r="G1268" s="2">
        <v>91387</v>
      </c>
      <c r="H1268" s="2">
        <v>6</v>
      </c>
      <c r="I1268" s="2" t="s">
        <v>78</v>
      </c>
      <c r="J1268" s="3">
        <v>0.143434343434343</v>
      </c>
      <c r="K1268" s="21">
        <v>1287.14084507042</v>
      </c>
      <c r="L1268" s="21">
        <v>15231.1666666667</v>
      </c>
      <c r="M1268" s="21">
        <v>82.5</v>
      </c>
      <c r="N1268" s="2" t="s">
        <v>79</v>
      </c>
    </row>
    <row r="1269" s="2" customFormat="1" spans="1:14">
      <c r="A1269" s="20">
        <v>45755</v>
      </c>
      <c r="B1269" s="2" t="s">
        <v>94</v>
      </c>
      <c r="C1269" s="2" t="s">
        <v>95</v>
      </c>
      <c r="D1269" s="2">
        <v>3</v>
      </c>
      <c r="E1269" s="2">
        <v>410</v>
      </c>
      <c r="F1269" s="2">
        <v>60</v>
      </c>
      <c r="G1269" s="2">
        <v>68329</v>
      </c>
      <c r="H1269" s="2">
        <v>6</v>
      </c>
      <c r="I1269" s="2" t="s">
        <v>78</v>
      </c>
      <c r="J1269" s="3">
        <v>0.146341463414634</v>
      </c>
      <c r="K1269" s="21">
        <v>1138.81666666667</v>
      </c>
      <c r="L1269" s="21">
        <v>11388.1666666667</v>
      </c>
      <c r="M1269" s="21">
        <v>68.3333333333333</v>
      </c>
      <c r="N1269" s="2" t="s">
        <v>79</v>
      </c>
    </row>
    <row r="1270" s="2" customFormat="1" spans="1:14">
      <c r="A1270" s="20">
        <v>45756</v>
      </c>
      <c r="B1270" s="2" t="s">
        <v>94</v>
      </c>
      <c r="C1270" s="2" t="s">
        <v>95</v>
      </c>
      <c r="D1270" s="2">
        <v>3</v>
      </c>
      <c r="E1270" s="2">
        <v>421</v>
      </c>
      <c r="F1270" s="2">
        <v>72</v>
      </c>
      <c r="G1270" s="2">
        <v>101928</v>
      </c>
      <c r="H1270" s="2">
        <v>7</v>
      </c>
      <c r="I1270" s="2" t="s">
        <v>78</v>
      </c>
      <c r="J1270" s="3">
        <v>0.171021377672209</v>
      </c>
      <c r="K1270" s="21">
        <v>1415.66666666667</v>
      </c>
      <c r="L1270" s="21">
        <v>14561.1428571429</v>
      </c>
      <c r="M1270" s="21">
        <v>60.1428571428572</v>
      </c>
      <c r="N1270" s="2" t="s">
        <v>79</v>
      </c>
    </row>
    <row r="1271" s="2" customFormat="1" spans="1:14">
      <c r="A1271" s="20">
        <v>45757</v>
      </c>
      <c r="B1271" s="2" t="s">
        <v>94</v>
      </c>
      <c r="C1271" s="2" t="s">
        <v>95</v>
      </c>
      <c r="D1271" s="2">
        <v>3</v>
      </c>
      <c r="E1271" s="2">
        <v>499</v>
      </c>
      <c r="F1271" s="2">
        <v>75</v>
      </c>
      <c r="G1271" s="2">
        <v>91839</v>
      </c>
      <c r="H1271" s="2">
        <v>5</v>
      </c>
      <c r="I1271" s="2" t="s">
        <v>78</v>
      </c>
      <c r="J1271" s="3">
        <v>0.150300601202405</v>
      </c>
      <c r="K1271" s="21">
        <v>1224.52</v>
      </c>
      <c r="L1271" s="21">
        <v>18367.8</v>
      </c>
      <c r="M1271" s="21">
        <v>99.8</v>
      </c>
      <c r="N1271" s="2" t="s">
        <v>79</v>
      </c>
    </row>
    <row r="1272" s="2" customFormat="1" spans="1:14">
      <c r="A1272" s="20">
        <v>45758</v>
      </c>
      <c r="B1272" s="2" t="s">
        <v>94</v>
      </c>
      <c r="C1272" s="2" t="s">
        <v>95</v>
      </c>
      <c r="D1272" s="2">
        <v>3</v>
      </c>
      <c r="E1272" s="2">
        <v>451</v>
      </c>
      <c r="F1272" s="2">
        <v>72</v>
      </c>
      <c r="G1272" s="2">
        <v>121280</v>
      </c>
      <c r="H1272" s="2">
        <v>7</v>
      </c>
      <c r="I1272" s="2" t="s">
        <v>78</v>
      </c>
      <c r="J1272" s="3">
        <v>0.159645232815964</v>
      </c>
      <c r="K1272" s="21">
        <v>1684.44444444444</v>
      </c>
      <c r="L1272" s="21">
        <v>17325.7142857143</v>
      </c>
      <c r="M1272" s="21">
        <v>64.4285714285714</v>
      </c>
      <c r="N1272" s="2" t="s">
        <v>79</v>
      </c>
    </row>
    <row r="1273" s="2" customFormat="1" spans="1:14">
      <c r="A1273" s="20">
        <v>45759</v>
      </c>
      <c r="B1273" s="2" t="s">
        <v>94</v>
      </c>
      <c r="C1273" s="2" t="s">
        <v>95</v>
      </c>
      <c r="D1273" s="2">
        <v>3</v>
      </c>
      <c r="E1273" s="2">
        <v>640</v>
      </c>
      <c r="F1273" s="2">
        <v>110</v>
      </c>
      <c r="G1273" s="2">
        <v>167486</v>
      </c>
      <c r="H1273" s="2">
        <v>8</v>
      </c>
      <c r="I1273" s="2" t="s">
        <v>78</v>
      </c>
      <c r="J1273" s="3">
        <v>0.171875</v>
      </c>
      <c r="K1273" s="21">
        <v>1522.6</v>
      </c>
      <c r="L1273" s="21">
        <v>20935.75</v>
      </c>
      <c r="M1273" s="21">
        <v>80</v>
      </c>
      <c r="N1273" s="2" t="s">
        <v>80</v>
      </c>
    </row>
    <row r="1274" s="2" customFormat="1" spans="1:14">
      <c r="A1274" s="20">
        <v>45760</v>
      </c>
      <c r="B1274" s="2" t="s">
        <v>94</v>
      </c>
      <c r="C1274" s="2" t="s">
        <v>95</v>
      </c>
      <c r="D1274" s="2">
        <v>3</v>
      </c>
      <c r="E1274" s="2">
        <v>584</v>
      </c>
      <c r="F1274" s="2">
        <v>92</v>
      </c>
      <c r="G1274" s="2">
        <v>120113</v>
      </c>
      <c r="H1274" s="2">
        <v>4</v>
      </c>
      <c r="I1274" s="2" t="s">
        <v>78</v>
      </c>
      <c r="J1274" s="3">
        <v>0.157534246575343</v>
      </c>
      <c r="K1274" s="21">
        <v>1305.57608695652</v>
      </c>
      <c r="L1274" s="21">
        <v>30028.25</v>
      </c>
      <c r="M1274" s="21">
        <v>146</v>
      </c>
      <c r="N1274" s="2" t="s">
        <v>80</v>
      </c>
    </row>
    <row r="1275" s="2" customFormat="1" spans="1:14">
      <c r="A1275" s="20">
        <v>45761</v>
      </c>
      <c r="B1275" s="2" t="s">
        <v>94</v>
      </c>
      <c r="C1275" s="2" t="s">
        <v>95</v>
      </c>
      <c r="D1275" s="2">
        <v>3</v>
      </c>
      <c r="E1275" s="2">
        <v>502</v>
      </c>
      <c r="F1275" s="2">
        <v>84</v>
      </c>
      <c r="G1275" s="2">
        <v>108747</v>
      </c>
      <c r="H1275" s="2">
        <v>7</v>
      </c>
      <c r="I1275" s="2" t="s">
        <v>78</v>
      </c>
      <c r="J1275" s="3">
        <v>0.167330677290837</v>
      </c>
      <c r="K1275" s="21">
        <v>1294.60714285714</v>
      </c>
      <c r="L1275" s="21">
        <v>15535.2857142857</v>
      </c>
      <c r="M1275" s="21">
        <v>71.7142857142857</v>
      </c>
      <c r="N1275" s="2" t="s">
        <v>79</v>
      </c>
    </row>
    <row r="1276" s="2" customFormat="1" spans="1:14">
      <c r="A1276" s="20">
        <v>45762</v>
      </c>
      <c r="B1276" s="2" t="s">
        <v>94</v>
      </c>
      <c r="C1276" s="2" t="s">
        <v>95</v>
      </c>
      <c r="D1276" s="2">
        <v>3</v>
      </c>
      <c r="E1276" s="2">
        <v>499</v>
      </c>
      <c r="F1276" s="2">
        <v>74</v>
      </c>
      <c r="G1276" s="2">
        <v>103013</v>
      </c>
      <c r="H1276" s="2">
        <v>4</v>
      </c>
      <c r="I1276" s="2" t="s">
        <v>78</v>
      </c>
      <c r="J1276" s="3">
        <v>0.148296593186373</v>
      </c>
      <c r="K1276" s="21">
        <v>1392.06756756757</v>
      </c>
      <c r="L1276" s="21">
        <v>25753.25</v>
      </c>
      <c r="M1276" s="21">
        <v>124.75</v>
      </c>
      <c r="N1276" s="2" t="s">
        <v>79</v>
      </c>
    </row>
    <row r="1277" s="2" customFormat="1" spans="1:14">
      <c r="A1277" s="20">
        <v>45763</v>
      </c>
      <c r="B1277" s="2" t="s">
        <v>94</v>
      </c>
      <c r="C1277" s="2" t="s">
        <v>95</v>
      </c>
      <c r="D1277" s="2">
        <v>3</v>
      </c>
      <c r="E1277" s="2">
        <v>443</v>
      </c>
      <c r="F1277" s="2">
        <v>74</v>
      </c>
      <c r="G1277" s="2">
        <v>82202</v>
      </c>
      <c r="H1277" s="2">
        <v>5</v>
      </c>
      <c r="I1277" s="2" t="s">
        <v>78</v>
      </c>
      <c r="J1277" s="3">
        <v>0.167042889390519</v>
      </c>
      <c r="K1277" s="21">
        <v>1110.83783783784</v>
      </c>
      <c r="L1277" s="21">
        <v>16440.4</v>
      </c>
      <c r="M1277" s="21">
        <v>88.6</v>
      </c>
      <c r="N1277" s="2" t="s">
        <v>79</v>
      </c>
    </row>
    <row r="1278" s="2" customFormat="1" spans="1:14">
      <c r="A1278" s="20">
        <v>45764</v>
      </c>
      <c r="B1278" s="2" t="s">
        <v>94</v>
      </c>
      <c r="C1278" s="2" t="s">
        <v>95</v>
      </c>
      <c r="D1278" s="2">
        <v>3</v>
      </c>
      <c r="E1278" s="2">
        <v>531</v>
      </c>
      <c r="F1278" s="2">
        <v>90</v>
      </c>
      <c r="G1278" s="2">
        <v>101031</v>
      </c>
      <c r="H1278" s="2">
        <v>6</v>
      </c>
      <c r="I1278" s="2" t="s">
        <v>78</v>
      </c>
      <c r="J1278" s="3">
        <v>0.169491525423729</v>
      </c>
      <c r="K1278" s="21">
        <v>1122.56666666667</v>
      </c>
      <c r="L1278" s="21">
        <v>16838.5</v>
      </c>
      <c r="M1278" s="21">
        <v>88.5</v>
      </c>
      <c r="N1278" s="2" t="s">
        <v>79</v>
      </c>
    </row>
    <row r="1279" s="2" customFormat="1" spans="1:14">
      <c r="A1279" s="20">
        <v>45765</v>
      </c>
      <c r="B1279" s="2" t="s">
        <v>94</v>
      </c>
      <c r="C1279" s="2" t="s">
        <v>95</v>
      </c>
      <c r="D1279" s="2">
        <v>3</v>
      </c>
      <c r="E1279" s="2">
        <v>496</v>
      </c>
      <c r="F1279" s="2">
        <v>86</v>
      </c>
      <c r="G1279" s="2">
        <v>141389</v>
      </c>
      <c r="H1279" s="2">
        <v>7</v>
      </c>
      <c r="I1279" s="2" t="s">
        <v>78</v>
      </c>
      <c r="J1279" s="3">
        <v>0.173387096774194</v>
      </c>
      <c r="K1279" s="21">
        <v>1644.05813953488</v>
      </c>
      <c r="L1279" s="21">
        <v>20198.4285714286</v>
      </c>
      <c r="M1279" s="21">
        <v>70.8571428571429</v>
      </c>
      <c r="N1279" s="2" t="s">
        <v>79</v>
      </c>
    </row>
    <row r="1280" s="2" customFormat="1" spans="1:14">
      <c r="A1280" s="20">
        <v>45766</v>
      </c>
      <c r="B1280" s="2" t="s">
        <v>94</v>
      </c>
      <c r="C1280" s="2" t="s">
        <v>95</v>
      </c>
      <c r="D1280" s="2">
        <v>3</v>
      </c>
      <c r="E1280" s="2">
        <v>617</v>
      </c>
      <c r="F1280" s="2">
        <v>100</v>
      </c>
      <c r="G1280" s="2">
        <v>123710</v>
      </c>
      <c r="H1280" s="2">
        <v>7</v>
      </c>
      <c r="I1280" s="2" t="s">
        <v>78</v>
      </c>
      <c r="J1280" s="3">
        <v>0.162074554294976</v>
      </c>
      <c r="K1280" s="21">
        <v>1237.1</v>
      </c>
      <c r="L1280" s="21">
        <v>17672.8571428571</v>
      </c>
      <c r="M1280" s="21">
        <v>88.1428571428571</v>
      </c>
      <c r="N1280" s="2" t="s">
        <v>80</v>
      </c>
    </row>
    <row r="1281" s="2" customFormat="1" spans="1:14">
      <c r="A1281" s="20">
        <v>45767</v>
      </c>
      <c r="B1281" s="2" t="s">
        <v>94</v>
      </c>
      <c r="C1281" s="2" t="s">
        <v>95</v>
      </c>
      <c r="D1281" s="2">
        <v>3</v>
      </c>
      <c r="E1281" s="2">
        <v>616</v>
      </c>
      <c r="F1281" s="2">
        <v>98</v>
      </c>
      <c r="G1281" s="2">
        <v>150282</v>
      </c>
      <c r="H1281" s="2">
        <v>9</v>
      </c>
      <c r="I1281" s="2" t="s">
        <v>78</v>
      </c>
      <c r="J1281" s="3">
        <v>0.159090909090909</v>
      </c>
      <c r="K1281" s="21">
        <v>1533.48979591837</v>
      </c>
      <c r="L1281" s="21">
        <v>16698</v>
      </c>
      <c r="M1281" s="21">
        <v>68.4444444444444</v>
      </c>
      <c r="N1281" s="2" t="s">
        <v>80</v>
      </c>
    </row>
    <row r="1282" s="2" customFormat="1" spans="1:14">
      <c r="A1282" s="20">
        <v>45768</v>
      </c>
      <c r="B1282" s="2" t="s">
        <v>94</v>
      </c>
      <c r="C1282" s="2" t="s">
        <v>95</v>
      </c>
      <c r="D1282" s="2">
        <v>3</v>
      </c>
      <c r="E1282" s="2">
        <v>515</v>
      </c>
      <c r="F1282" s="2">
        <v>79</v>
      </c>
      <c r="G1282" s="2">
        <v>132873</v>
      </c>
      <c r="H1282" s="2">
        <v>8</v>
      </c>
      <c r="I1282" s="2" t="s">
        <v>81</v>
      </c>
      <c r="J1282" s="3">
        <v>0.153398058252427</v>
      </c>
      <c r="K1282" s="21">
        <v>1681.93670886076</v>
      </c>
      <c r="L1282" s="21">
        <v>16609.125</v>
      </c>
      <c r="M1282" s="21">
        <v>64.375</v>
      </c>
      <c r="N1282" s="2" t="s">
        <v>79</v>
      </c>
    </row>
    <row r="1283" s="2" customFormat="1" spans="1:14">
      <c r="A1283" s="20">
        <v>45769</v>
      </c>
      <c r="B1283" s="2" t="s">
        <v>94</v>
      </c>
      <c r="C1283" s="2" t="s">
        <v>95</v>
      </c>
      <c r="D1283" s="2">
        <v>3</v>
      </c>
      <c r="E1283" s="2">
        <v>433</v>
      </c>
      <c r="F1283" s="2">
        <v>71</v>
      </c>
      <c r="G1283" s="2">
        <v>83053</v>
      </c>
      <c r="H1283" s="2">
        <v>5</v>
      </c>
      <c r="I1283" s="2" t="s">
        <v>78</v>
      </c>
      <c r="J1283" s="3">
        <v>0.163972286374134</v>
      </c>
      <c r="K1283" s="21">
        <v>1169.76056338028</v>
      </c>
      <c r="L1283" s="21">
        <v>16610.6</v>
      </c>
      <c r="M1283" s="21">
        <v>86.6</v>
      </c>
      <c r="N1283" s="2" t="s">
        <v>79</v>
      </c>
    </row>
    <row r="1284" s="2" customFormat="1" spans="1:14">
      <c r="A1284" s="20">
        <v>45770</v>
      </c>
      <c r="B1284" s="2" t="s">
        <v>94</v>
      </c>
      <c r="C1284" s="2" t="s">
        <v>95</v>
      </c>
      <c r="D1284" s="2">
        <v>3</v>
      </c>
      <c r="E1284" s="2">
        <v>422</v>
      </c>
      <c r="F1284" s="2">
        <v>75</v>
      </c>
      <c r="G1284" s="2">
        <v>88346</v>
      </c>
      <c r="H1284" s="2">
        <v>8</v>
      </c>
      <c r="I1284" s="2" t="s">
        <v>78</v>
      </c>
      <c r="J1284" s="3">
        <v>0.177725118483412</v>
      </c>
      <c r="K1284" s="21">
        <v>1177.94666666667</v>
      </c>
      <c r="L1284" s="21">
        <v>11043.25</v>
      </c>
      <c r="M1284" s="21">
        <v>52.75</v>
      </c>
      <c r="N1284" s="2" t="s">
        <v>79</v>
      </c>
    </row>
    <row r="1285" s="2" customFormat="1" spans="1:14">
      <c r="A1285" s="20">
        <v>45771</v>
      </c>
      <c r="B1285" s="2" t="s">
        <v>94</v>
      </c>
      <c r="C1285" s="2" t="s">
        <v>95</v>
      </c>
      <c r="D1285" s="2">
        <v>3</v>
      </c>
      <c r="E1285" s="2">
        <v>600</v>
      </c>
      <c r="F1285" s="2">
        <v>95</v>
      </c>
      <c r="G1285" s="2">
        <v>143009</v>
      </c>
      <c r="H1285" s="2">
        <v>6</v>
      </c>
      <c r="I1285" s="2" t="s">
        <v>78</v>
      </c>
      <c r="J1285" s="3">
        <v>0.158333333333333</v>
      </c>
      <c r="K1285" s="21">
        <v>1505.35789473684</v>
      </c>
      <c r="L1285" s="21">
        <v>23834.8333333333</v>
      </c>
      <c r="M1285" s="21">
        <v>100</v>
      </c>
      <c r="N1285" s="2" t="s">
        <v>79</v>
      </c>
    </row>
    <row r="1286" s="2" customFormat="1" spans="1:14">
      <c r="A1286" s="20">
        <v>45772</v>
      </c>
      <c r="B1286" s="2" t="s">
        <v>94</v>
      </c>
      <c r="C1286" s="2" t="s">
        <v>95</v>
      </c>
      <c r="D1286" s="2">
        <v>3</v>
      </c>
      <c r="E1286" s="2">
        <v>491</v>
      </c>
      <c r="F1286" s="2">
        <v>73</v>
      </c>
      <c r="G1286" s="2">
        <v>111958</v>
      </c>
      <c r="H1286" s="2">
        <v>4</v>
      </c>
      <c r="I1286" s="2" t="s">
        <v>78</v>
      </c>
      <c r="J1286" s="3">
        <v>0.14867617107943</v>
      </c>
      <c r="K1286" s="21">
        <v>1533.67123287671</v>
      </c>
      <c r="L1286" s="21">
        <v>27989.5</v>
      </c>
      <c r="M1286" s="21">
        <v>122.75</v>
      </c>
      <c r="N1286" s="2" t="s">
        <v>79</v>
      </c>
    </row>
    <row r="1287" s="2" customFormat="1" spans="1:14">
      <c r="A1287" s="20">
        <v>45773</v>
      </c>
      <c r="B1287" s="2" t="s">
        <v>94</v>
      </c>
      <c r="C1287" s="2" t="s">
        <v>95</v>
      </c>
      <c r="D1287" s="2">
        <v>3</v>
      </c>
      <c r="E1287" s="2">
        <v>716</v>
      </c>
      <c r="F1287" s="2">
        <v>114</v>
      </c>
      <c r="G1287" s="2">
        <v>135354</v>
      </c>
      <c r="H1287" s="2">
        <v>8</v>
      </c>
      <c r="I1287" s="2" t="s">
        <v>78</v>
      </c>
      <c r="J1287" s="3">
        <v>0.159217877094972</v>
      </c>
      <c r="K1287" s="21">
        <v>1187.31578947368</v>
      </c>
      <c r="L1287" s="21">
        <v>16919.25</v>
      </c>
      <c r="M1287" s="21">
        <v>89.5</v>
      </c>
      <c r="N1287" s="2" t="s">
        <v>80</v>
      </c>
    </row>
    <row r="1288" s="2" customFormat="1" spans="1:14">
      <c r="A1288" s="20">
        <v>45774</v>
      </c>
      <c r="B1288" s="2" t="s">
        <v>94</v>
      </c>
      <c r="C1288" s="2" t="s">
        <v>95</v>
      </c>
      <c r="D1288" s="2">
        <v>3</v>
      </c>
      <c r="E1288" s="2">
        <v>711</v>
      </c>
      <c r="F1288" s="2">
        <v>119</v>
      </c>
      <c r="G1288" s="2">
        <v>185154</v>
      </c>
      <c r="H1288" s="2">
        <v>6</v>
      </c>
      <c r="I1288" s="2" t="s">
        <v>78</v>
      </c>
      <c r="J1288" s="3">
        <v>0.167369901547117</v>
      </c>
      <c r="K1288" s="21">
        <v>1555.91596638656</v>
      </c>
      <c r="L1288" s="21">
        <v>30859</v>
      </c>
      <c r="M1288" s="21">
        <v>118.5</v>
      </c>
      <c r="N1288" s="2" t="s">
        <v>80</v>
      </c>
    </row>
    <row r="1289" s="2" customFormat="1" spans="1:14">
      <c r="A1289" s="20">
        <v>45775</v>
      </c>
      <c r="B1289" s="2" t="s">
        <v>94</v>
      </c>
      <c r="C1289" s="2" t="s">
        <v>95</v>
      </c>
      <c r="D1289" s="2">
        <v>3</v>
      </c>
      <c r="E1289" s="2">
        <v>497</v>
      </c>
      <c r="F1289" s="2">
        <v>75</v>
      </c>
      <c r="G1289" s="2">
        <v>84329</v>
      </c>
      <c r="H1289" s="2">
        <v>7</v>
      </c>
      <c r="I1289" s="2" t="s">
        <v>78</v>
      </c>
      <c r="J1289" s="3">
        <v>0.150905432595573</v>
      </c>
      <c r="K1289" s="21">
        <v>1124.38666666667</v>
      </c>
      <c r="L1289" s="21">
        <v>12047</v>
      </c>
      <c r="M1289" s="21">
        <v>71</v>
      </c>
      <c r="N1289" s="2" t="s">
        <v>79</v>
      </c>
    </row>
    <row r="1290" s="2" customFormat="1" spans="1:14">
      <c r="A1290" s="20">
        <v>45776</v>
      </c>
      <c r="B1290" s="2" t="s">
        <v>94</v>
      </c>
      <c r="C1290" s="2" t="s">
        <v>95</v>
      </c>
      <c r="D1290" s="2">
        <v>3</v>
      </c>
      <c r="E1290" s="2">
        <v>539</v>
      </c>
      <c r="F1290" s="2">
        <v>86</v>
      </c>
      <c r="G1290" s="2">
        <v>97542</v>
      </c>
      <c r="H1290" s="2">
        <v>8</v>
      </c>
      <c r="I1290" s="2" t="s">
        <v>78</v>
      </c>
      <c r="J1290" s="3">
        <v>0.159554730983302</v>
      </c>
      <c r="K1290" s="21">
        <v>1134.20930232558</v>
      </c>
      <c r="L1290" s="21">
        <v>12192.75</v>
      </c>
      <c r="M1290" s="21">
        <v>67.375</v>
      </c>
      <c r="N1290" s="2" t="s">
        <v>79</v>
      </c>
    </row>
    <row r="1291" s="2" customFormat="1" spans="1:14">
      <c r="A1291" s="20">
        <v>45777</v>
      </c>
      <c r="B1291" s="2" t="s">
        <v>94</v>
      </c>
      <c r="C1291" s="2" t="s">
        <v>95</v>
      </c>
      <c r="D1291" s="2">
        <v>3</v>
      </c>
      <c r="E1291" s="2">
        <v>502</v>
      </c>
      <c r="F1291" s="2">
        <v>70</v>
      </c>
      <c r="G1291" s="2">
        <v>108721</v>
      </c>
      <c r="H1291" s="2">
        <v>5</v>
      </c>
      <c r="I1291" s="2" t="s">
        <v>78</v>
      </c>
      <c r="J1291" s="3">
        <v>0.139442231075697</v>
      </c>
      <c r="K1291" s="21">
        <v>1553.15714285714</v>
      </c>
      <c r="L1291" s="21">
        <v>21744.2</v>
      </c>
      <c r="M1291" s="21">
        <v>100.4</v>
      </c>
      <c r="N1291" s="2" t="s">
        <v>79</v>
      </c>
    </row>
    <row r="1292" s="2" customFormat="1" spans="1:14">
      <c r="A1292" s="20">
        <v>45778</v>
      </c>
      <c r="B1292" s="2" t="s">
        <v>94</v>
      </c>
      <c r="C1292" s="2" t="s">
        <v>95</v>
      </c>
      <c r="D1292" s="2">
        <v>3</v>
      </c>
      <c r="E1292" s="2">
        <v>477</v>
      </c>
      <c r="F1292" s="2">
        <v>83</v>
      </c>
      <c r="G1292" s="2">
        <v>123473</v>
      </c>
      <c r="H1292" s="2">
        <v>7</v>
      </c>
      <c r="I1292" s="2" t="s">
        <v>78</v>
      </c>
      <c r="J1292" s="3">
        <v>0.174004192872117</v>
      </c>
      <c r="K1292" s="21">
        <v>1487.6265060241</v>
      </c>
      <c r="L1292" s="21">
        <v>17639</v>
      </c>
      <c r="M1292" s="21">
        <v>68.1428571428571</v>
      </c>
      <c r="N1292" s="2" t="s">
        <v>79</v>
      </c>
    </row>
    <row r="1293" s="2" customFormat="1" spans="1:14">
      <c r="A1293" s="20">
        <v>45779</v>
      </c>
      <c r="B1293" s="2" t="s">
        <v>94</v>
      </c>
      <c r="C1293" s="2" t="s">
        <v>95</v>
      </c>
      <c r="D1293" s="2">
        <v>3</v>
      </c>
      <c r="E1293" s="2">
        <v>470</v>
      </c>
      <c r="F1293" s="2">
        <v>72</v>
      </c>
      <c r="G1293" s="2">
        <v>110489</v>
      </c>
      <c r="H1293" s="2">
        <v>4</v>
      </c>
      <c r="I1293" s="2" t="s">
        <v>78</v>
      </c>
      <c r="J1293" s="3">
        <v>0.153191489361702</v>
      </c>
      <c r="K1293" s="21">
        <v>1534.56944444444</v>
      </c>
      <c r="L1293" s="21">
        <v>27622.25</v>
      </c>
      <c r="M1293" s="21">
        <v>117.5</v>
      </c>
      <c r="N1293" s="2" t="s">
        <v>79</v>
      </c>
    </row>
    <row r="1294" s="2" customFormat="1" spans="1:14">
      <c r="A1294" s="20">
        <v>45780</v>
      </c>
      <c r="B1294" s="2" t="s">
        <v>94</v>
      </c>
      <c r="C1294" s="2" t="s">
        <v>95</v>
      </c>
      <c r="D1294" s="2">
        <v>3</v>
      </c>
      <c r="E1294" s="2">
        <v>846</v>
      </c>
      <c r="F1294" s="2">
        <v>137</v>
      </c>
      <c r="G1294" s="2">
        <v>188747</v>
      </c>
      <c r="H1294" s="2">
        <v>4</v>
      </c>
      <c r="I1294" s="2" t="s">
        <v>78</v>
      </c>
      <c r="J1294" s="3">
        <v>0.16193853427896</v>
      </c>
      <c r="K1294" s="21">
        <v>1377.71532846715</v>
      </c>
      <c r="L1294" s="21">
        <v>47186.75</v>
      </c>
      <c r="M1294" s="21">
        <v>211.5</v>
      </c>
      <c r="N1294" s="2" t="s">
        <v>80</v>
      </c>
    </row>
    <row r="1295" s="2" customFormat="1" spans="1:14">
      <c r="A1295" s="20">
        <v>45781</v>
      </c>
      <c r="B1295" s="2" t="s">
        <v>94</v>
      </c>
      <c r="C1295" s="2" t="s">
        <v>95</v>
      </c>
      <c r="D1295" s="2">
        <v>3</v>
      </c>
      <c r="E1295" s="2">
        <v>506</v>
      </c>
      <c r="F1295" s="2">
        <v>70</v>
      </c>
      <c r="G1295" s="2">
        <v>107691</v>
      </c>
      <c r="H1295" s="2">
        <v>4</v>
      </c>
      <c r="I1295" s="2" t="s">
        <v>78</v>
      </c>
      <c r="J1295" s="3">
        <v>0.138339920948617</v>
      </c>
      <c r="K1295" s="21">
        <v>1538.44285714286</v>
      </c>
      <c r="L1295" s="21">
        <v>26922.75</v>
      </c>
      <c r="M1295" s="21">
        <v>126.5</v>
      </c>
      <c r="N1295" s="2" t="s">
        <v>80</v>
      </c>
    </row>
    <row r="1296" s="2" customFormat="1" spans="1:14">
      <c r="A1296" s="20">
        <v>45782</v>
      </c>
      <c r="B1296" s="2" t="s">
        <v>94</v>
      </c>
      <c r="C1296" s="2" t="s">
        <v>95</v>
      </c>
      <c r="D1296" s="2">
        <v>3</v>
      </c>
      <c r="E1296" s="2">
        <v>446</v>
      </c>
      <c r="F1296" s="2">
        <v>66</v>
      </c>
      <c r="G1296" s="2">
        <v>103159</v>
      </c>
      <c r="H1296" s="2">
        <v>5</v>
      </c>
      <c r="I1296" s="2" t="s">
        <v>81</v>
      </c>
      <c r="J1296" s="3">
        <v>0.147982062780269</v>
      </c>
      <c r="K1296" s="21">
        <v>1563.01515151515</v>
      </c>
      <c r="L1296" s="21">
        <v>20631.8</v>
      </c>
      <c r="M1296" s="21">
        <v>89.2</v>
      </c>
      <c r="N1296" s="2" t="s">
        <v>79</v>
      </c>
    </row>
    <row r="1297" s="2" customFormat="1" spans="1:14">
      <c r="A1297" s="20">
        <v>45783</v>
      </c>
      <c r="B1297" s="2" t="s">
        <v>94</v>
      </c>
      <c r="C1297" s="2" t="s">
        <v>95</v>
      </c>
      <c r="D1297" s="2">
        <v>3</v>
      </c>
      <c r="E1297" s="2">
        <v>392</v>
      </c>
      <c r="F1297" s="2">
        <v>56</v>
      </c>
      <c r="G1297" s="2">
        <v>66907</v>
      </c>
      <c r="H1297" s="2">
        <v>4</v>
      </c>
      <c r="I1297" s="2" t="s">
        <v>81</v>
      </c>
      <c r="J1297" s="3">
        <v>0.142857142857143</v>
      </c>
      <c r="K1297" s="21">
        <v>1194.76785714286</v>
      </c>
      <c r="L1297" s="21">
        <v>16726.75</v>
      </c>
      <c r="M1297" s="21">
        <v>98</v>
      </c>
      <c r="N1297" s="2" t="s">
        <v>79</v>
      </c>
    </row>
    <row r="1298" s="2" customFormat="1" spans="1:14">
      <c r="A1298" s="20">
        <v>45784</v>
      </c>
      <c r="B1298" s="2" t="s">
        <v>94</v>
      </c>
      <c r="C1298" s="2" t="s">
        <v>95</v>
      </c>
      <c r="D1298" s="2">
        <v>3</v>
      </c>
      <c r="E1298" s="2">
        <v>374</v>
      </c>
      <c r="F1298" s="2">
        <v>55</v>
      </c>
      <c r="G1298" s="2">
        <v>84145</v>
      </c>
      <c r="H1298" s="2">
        <v>6</v>
      </c>
      <c r="I1298" s="2" t="s">
        <v>81</v>
      </c>
      <c r="J1298" s="3">
        <v>0.147058823529412</v>
      </c>
      <c r="K1298" s="21">
        <v>1529.90909090909</v>
      </c>
      <c r="L1298" s="21">
        <v>14024.1666666667</v>
      </c>
      <c r="M1298" s="21">
        <v>62.3333333333333</v>
      </c>
      <c r="N1298" s="2" t="s">
        <v>79</v>
      </c>
    </row>
    <row r="1299" s="2" customFormat="1" spans="1:14">
      <c r="A1299" s="20">
        <v>45785</v>
      </c>
      <c r="B1299" s="2" t="s">
        <v>94</v>
      </c>
      <c r="C1299" s="2" t="s">
        <v>95</v>
      </c>
      <c r="D1299" s="2">
        <v>3</v>
      </c>
      <c r="E1299" s="2">
        <v>578</v>
      </c>
      <c r="F1299" s="2">
        <v>95</v>
      </c>
      <c r="G1299" s="2">
        <v>119609</v>
      </c>
      <c r="H1299" s="2">
        <v>9</v>
      </c>
      <c r="I1299" s="2" t="s">
        <v>78</v>
      </c>
      <c r="J1299" s="3">
        <v>0.164359861591695</v>
      </c>
      <c r="K1299" s="21">
        <v>1259.04210526316</v>
      </c>
      <c r="L1299" s="21">
        <v>13289.8888888889</v>
      </c>
      <c r="M1299" s="21">
        <v>64.2222222222222</v>
      </c>
      <c r="N1299" s="2" t="s">
        <v>79</v>
      </c>
    </row>
    <row r="1300" s="2" customFormat="1" spans="1:14">
      <c r="A1300" s="20">
        <v>45786</v>
      </c>
      <c r="B1300" s="2" t="s">
        <v>94</v>
      </c>
      <c r="C1300" s="2" t="s">
        <v>95</v>
      </c>
      <c r="D1300" s="2">
        <v>3</v>
      </c>
      <c r="E1300" s="2">
        <v>350</v>
      </c>
      <c r="F1300" s="2">
        <v>48</v>
      </c>
      <c r="G1300" s="2">
        <v>63636</v>
      </c>
      <c r="H1300" s="2">
        <v>5</v>
      </c>
      <c r="I1300" s="2" t="s">
        <v>81</v>
      </c>
      <c r="J1300" s="3">
        <v>0.137142857142857</v>
      </c>
      <c r="K1300" s="21">
        <v>1325.75</v>
      </c>
      <c r="L1300" s="21">
        <v>12727.2</v>
      </c>
      <c r="M1300" s="21">
        <v>70</v>
      </c>
      <c r="N1300" s="2" t="s">
        <v>79</v>
      </c>
    </row>
    <row r="1301" s="2" customFormat="1" spans="1:14">
      <c r="A1301" s="20">
        <v>45787</v>
      </c>
      <c r="B1301" s="2" t="s">
        <v>94</v>
      </c>
      <c r="C1301" s="2" t="s">
        <v>95</v>
      </c>
      <c r="D1301" s="2">
        <v>3</v>
      </c>
      <c r="E1301" s="2">
        <v>722</v>
      </c>
      <c r="F1301" s="2">
        <v>111</v>
      </c>
      <c r="G1301" s="2">
        <v>183944</v>
      </c>
      <c r="H1301" s="2">
        <v>8</v>
      </c>
      <c r="I1301" s="2" t="s">
        <v>78</v>
      </c>
      <c r="J1301" s="3">
        <v>0.153739612188366</v>
      </c>
      <c r="K1301" s="21">
        <v>1657.15315315315</v>
      </c>
      <c r="L1301" s="21">
        <v>22993</v>
      </c>
      <c r="M1301" s="21">
        <v>90.25</v>
      </c>
      <c r="N1301" s="2" t="s">
        <v>80</v>
      </c>
    </row>
    <row r="1302" s="2" customFormat="1" spans="1:14">
      <c r="A1302" s="20">
        <v>45788</v>
      </c>
      <c r="B1302" s="2" t="s">
        <v>94</v>
      </c>
      <c r="C1302" s="2" t="s">
        <v>95</v>
      </c>
      <c r="D1302" s="2">
        <v>3</v>
      </c>
      <c r="E1302" s="2">
        <v>657</v>
      </c>
      <c r="F1302" s="2">
        <v>100</v>
      </c>
      <c r="G1302" s="2">
        <v>151719</v>
      </c>
      <c r="H1302" s="2">
        <v>8</v>
      </c>
      <c r="I1302" s="2" t="s">
        <v>78</v>
      </c>
      <c r="J1302" s="3">
        <v>0.15220700152207</v>
      </c>
      <c r="K1302" s="21">
        <v>1517.19</v>
      </c>
      <c r="L1302" s="21">
        <v>18964.875</v>
      </c>
      <c r="M1302" s="21">
        <v>82.125</v>
      </c>
      <c r="N1302" s="2" t="s">
        <v>80</v>
      </c>
    </row>
    <row r="1303" s="2" customFormat="1" spans="1:14">
      <c r="A1303" s="20">
        <v>45789</v>
      </c>
      <c r="B1303" s="2" t="s">
        <v>94</v>
      </c>
      <c r="C1303" s="2" t="s">
        <v>95</v>
      </c>
      <c r="D1303" s="2">
        <v>3</v>
      </c>
      <c r="E1303" s="2">
        <v>471</v>
      </c>
      <c r="F1303" s="2">
        <v>78</v>
      </c>
      <c r="G1303" s="2">
        <v>120403</v>
      </c>
      <c r="H1303" s="2">
        <v>8</v>
      </c>
      <c r="I1303" s="2" t="s">
        <v>81</v>
      </c>
      <c r="J1303" s="3">
        <v>0.165605095541401</v>
      </c>
      <c r="K1303" s="21">
        <v>1543.62820512821</v>
      </c>
      <c r="L1303" s="21">
        <v>15050.375</v>
      </c>
      <c r="M1303" s="21">
        <v>58.875</v>
      </c>
      <c r="N1303" s="2" t="s">
        <v>79</v>
      </c>
    </row>
    <row r="1304" s="2" customFormat="1" spans="1:14">
      <c r="A1304" s="20">
        <v>45790</v>
      </c>
      <c r="B1304" s="2" t="s">
        <v>94</v>
      </c>
      <c r="C1304" s="2" t="s">
        <v>95</v>
      </c>
      <c r="D1304" s="2">
        <v>3</v>
      </c>
      <c r="E1304" s="2">
        <v>518</v>
      </c>
      <c r="F1304" s="2">
        <v>77</v>
      </c>
      <c r="G1304" s="2">
        <v>86365</v>
      </c>
      <c r="H1304" s="2">
        <v>4</v>
      </c>
      <c r="I1304" s="2" t="s">
        <v>78</v>
      </c>
      <c r="J1304" s="3">
        <v>0.148648648648649</v>
      </c>
      <c r="K1304" s="21">
        <v>1121.62337662338</v>
      </c>
      <c r="L1304" s="21">
        <v>21591.25</v>
      </c>
      <c r="M1304" s="21">
        <v>129.5</v>
      </c>
      <c r="N1304" s="2" t="s">
        <v>79</v>
      </c>
    </row>
    <row r="1305" s="2" customFormat="1" spans="1:14">
      <c r="A1305" s="20">
        <v>45791</v>
      </c>
      <c r="B1305" s="2" t="s">
        <v>94</v>
      </c>
      <c r="C1305" s="2" t="s">
        <v>95</v>
      </c>
      <c r="D1305" s="2">
        <v>3</v>
      </c>
      <c r="E1305" s="2">
        <v>435</v>
      </c>
      <c r="F1305" s="2">
        <v>71</v>
      </c>
      <c r="G1305" s="2">
        <v>111977</v>
      </c>
      <c r="H1305" s="2">
        <v>7</v>
      </c>
      <c r="I1305" s="2" t="s">
        <v>78</v>
      </c>
      <c r="J1305" s="3">
        <v>0.163218390804598</v>
      </c>
      <c r="K1305" s="21">
        <v>1577.14084507042</v>
      </c>
      <c r="L1305" s="21">
        <v>15996.7142857143</v>
      </c>
      <c r="M1305" s="21">
        <v>62.1428571428572</v>
      </c>
      <c r="N1305" s="2" t="s">
        <v>79</v>
      </c>
    </row>
    <row r="1306" s="2" customFormat="1" spans="1:14">
      <c r="A1306" s="20">
        <v>45792</v>
      </c>
      <c r="B1306" s="2" t="s">
        <v>94</v>
      </c>
      <c r="C1306" s="2" t="s">
        <v>95</v>
      </c>
      <c r="D1306" s="2">
        <v>3</v>
      </c>
      <c r="E1306" s="2">
        <v>482</v>
      </c>
      <c r="F1306" s="2">
        <v>73</v>
      </c>
      <c r="G1306" s="2">
        <v>120110</v>
      </c>
      <c r="H1306" s="2">
        <v>7</v>
      </c>
      <c r="I1306" s="2" t="s">
        <v>78</v>
      </c>
      <c r="J1306" s="3">
        <v>0.151452282157676</v>
      </c>
      <c r="K1306" s="21">
        <v>1645.34246575342</v>
      </c>
      <c r="L1306" s="21">
        <v>17158.5714285714</v>
      </c>
      <c r="M1306" s="21">
        <v>68.8571428571429</v>
      </c>
      <c r="N1306" s="2" t="s">
        <v>79</v>
      </c>
    </row>
    <row r="1307" s="2" customFormat="1" spans="1:14">
      <c r="A1307" s="20">
        <v>45793</v>
      </c>
      <c r="B1307" s="2" t="s">
        <v>94</v>
      </c>
      <c r="C1307" s="2" t="s">
        <v>95</v>
      </c>
      <c r="D1307" s="2">
        <v>3</v>
      </c>
      <c r="E1307" s="2">
        <v>403</v>
      </c>
      <c r="F1307" s="2">
        <v>68</v>
      </c>
      <c r="G1307" s="2">
        <v>103333</v>
      </c>
      <c r="H1307" s="2">
        <v>8</v>
      </c>
      <c r="I1307" s="2" t="s">
        <v>78</v>
      </c>
      <c r="J1307" s="3">
        <v>0.168734491315136</v>
      </c>
      <c r="K1307" s="21">
        <v>1519.60294117647</v>
      </c>
      <c r="L1307" s="21">
        <v>12916.625</v>
      </c>
      <c r="M1307" s="21">
        <v>50.375</v>
      </c>
      <c r="N1307" s="2" t="s">
        <v>79</v>
      </c>
    </row>
    <row r="1308" s="2" customFormat="1" spans="1:14">
      <c r="A1308" s="20">
        <v>45794</v>
      </c>
      <c r="B1308" s="2" t="s">
        <v>94</v>
      </c>
      <c r="C1308" s="2" t="s">
        <v>95</v>
      </c>
      <c r="D1308" s="2">
        <v>3</v>
      </c>
      <c r="E1308" s="2">
        <v>705</v>
      </c>
      <c r="F1308" s="2">
        <v>120</v>
      </c>
      <c r="G1308" s="2">
        <v>167845</v>
      </c>
      <c r="H1308" s="2">
        <v>8</v>
      </c>
      <c r="I1308" s="2" t="s">
        <v>78</v>
      </c>
      <c r="J1308" s="3">
        <v>0.170212765957447</v>
      </c>
      <c r="K1308" s="21">
        <v>1398.70833333333</v>
      </c>
      <c r="L1308" s="21">
        <v>20980.625</v>
      </c>
      <c r="M1308" s="21">
        <v>88.125</v>
      </c>
      <c r="N1308" s="2" t="s">
        <v>80</v>
      </c>
    </row>
    <row r="1309" s="2" customFormat="1" spans="1:14">
      <c r="A1309" s="20">
        <v>45795</v>
      </c>
      <c r="B1309" s="2" t="s">
        <v>94</v>
      </c>
      <c r="C1309" s="2" t="s">
        <v>95</v>
      </c>
      <c r="D1309" s="2">
        <v>3</v>
      </c>
      <c r="E1309" s="2">
        <v>684</v>
      </c>
      <c r="F1309" s="2">
        <v>115</v>
      </c>
      <c r="G1309" s="2">
        <v>128400</v>
      </c>
      <c r="H1309" s="2">
        <v>7</v>
      </c>
      <c r="I1309" s="2" t="s">
        <v>78</v>
      </c>
      <c r="J1309" s="3">
        <v>0.16812865497076</v>
      </c>
      <c r="K1309" s="21">
        <v>1116.52173913043</v>
      </c>
      <c r="L1309" s="21">
        <v>18342.8571428571</v>
      </c>
      <c r="M1309" s="21">
        <v>97.7142857142857</v>
      </c>
      <c r="N1309" s="2" t="s">
        <v>80</v>
      </c>
    </row>
    <row r="1310" s="2" customFormat="1" spans="1:14">
      <c r="A1310" s="20">
        <v>45796</v>
      </c>
      <c r="B1310" s="2" t="s">
        <v>94</v>
      </c>
      <c r="C1310" s="2" t="s">
        <v>95</v>
      </c>
      <c r="D1310" s="2">
        <v>3</v>
      </c>
      <c r="E1310" s="2">
        <v>428</v>
      </c>
      <c r="F1310" s="2">
        <v>70</v>
      </c>
      <c r="G1310" s="2">
        <v>101929</v>
      </c>
      <c r="H1310" s="2">
        <v>4</v>
      </c>
      <c r="I1310" s="2" t="s">
        <v>78</v>
      </c>
      <c r="J1310" s="3">
        <v>0.163551401869159</v>
      </c>
      <c r="K1310" s="21">
        <v>1456.12857142857</v>
      </c>
      <c r="L1310" s="21">
        <v>25482.25</v>
      </c>
      <c r="M1310" s="21">
        <v>107</v>
      </c>
      <c r="N1310" s="2" t="s">
        <v>79</v>
      </c>
    </row>
    <row r="1311" s="2" customFormat="1" spans="1:14">
      <c r="A1311" s="20">
        <v>45797</v>
      </c>
      <c r="B1311" s="2" t="s">
        <v>94</v>
      </c>
      <c r="C1311" s="2" t="s">
        <v>95</v>
      </c>
      <c r="D1311" s="2">
        <v>3</v>
      </c>
      <c r="E1311" s="2">
        <v>438</v>
      </c>
      <c r="F1311" s="2">
        <v>64</v>
      </c>
      <c r="G1311" s="2">
        <v>74831</v>
      </c>
      <c r="H1311" s="2">
        <v>6</v>
      </c>
      <c r="I1311" s="2" t="s">
        <v>78</v>
      </c>
      <c r="J1311" s="3">
        <v>0.146118721461187</v>
      </c>
      <c r="K1311" s="21">
        <v>1169.234375</v>
      </c>
      <c r="L1311" s="21">
        <v>12471.8333333333</v>
      </c>
      <c r="M1311" s="21">
        <v>73</v>
      </c>
      <c r="N1311" s="2" t="s">
        <v>79</v>
      </c>
    </row>
    <row r="1312" s="2" customFormat="1" spans="1:14">
      <c r="A1312" s="20">
        <v>45798</v>
      </c>
      <c r="B1312" s="2" t="s">
        <v>94</v>
      </c>
      <c r="C1312" s="2" t="s">
        <v>95</v>
      </c>
      <c r="D1312" s="2">
        <v>3</v>
      </c>
      <c r="E1312" s="2">
        <v>484</v>
      </c>
      <c r="F1312" s="2">
        <v>75</v>
      </c>
      <c r="G1312" s="2">
        <v>109538</v>
      </c>
      <c r="H1312" s="2">
        <v>7</v>
      </c>
      <c r="I1312" s="2" t="s">
        <v>78</v>
      </c>
      <c r="J1312" s="3">
        <v>0.15495867768595</v>
      </c>
      <c r="K1312" s="21">
        <v>1460.50666666667</v>
      </c>
      <c r="L1312" s="21">
        <v>15648.2857142857</v>
      </c>
      <c r="M1312" s="21">
        <v>69.1428571428571</v>
      </c>
      <c r="N1312" s="2" t="s">
        <v>79</v>
      </c>
    </row>
    <row r="1313" s="2" customFormat="1" spans="1:14">
      <c r="A1313" s="20">
        <v>45799</v>
      </c>
      <c r="B1313" s="2" t="s">
        <v>94</v>
      </c>
      <c r="C1313" s="2" t="s">
        <v>95</v>
      </c>
      <c r="D1313" s="2">
        <v>3</v>
      </c>
      <c r="E1313" s="2">
        <v>396</v>
      </c>
      <c r="F1313" s="2">
        <v>57</v>
      </c>
      <c r="G1313" s="2">
        <v>76925</v>
      </c>
      <c r="H1313" s="2">
        <v>7</v>
      </c>
      <c r="I1313" s="2" t="s">
        <v>78</v>
      </c>
      <c r="J1313" s="3">
        <v>0.143939393939394</v>
      </c>
      <c r="K1313" s="21">
        <v>1349.56140350877</v>
      </c>
      <c r="L1313" s="21">
        <v>10989.2857142857</v>
      </c>
      <c r="M1313" s="21">
        <v>56.5714285714286</v>
      </c>
      <c r="N1313" s="2" t="s">
        <v>79</v>
      </c>
    </row>
    <row r="1314" s="2" customFormat="1" spans="1:14">
      <c r="A1314" s="20">
        <v>45800</v>
      </c>
      <c r="B1314" s="2" t="s">
        <v>94</v>
      </c>
      <c r="C1314" s="2" t="s">
        <v>95</v>
      </c>
      <c r="D1314" s="2">
        <v>3</v>
      </c>
      <c r="E1314" s="2">
        <v>401</v>
      </c>
      <c r="F1314" s="2">
        <v>62</v>
      </c>
      <c r="G1314" s="2">
        <v>94963</v>
      </c>
      <c r="H1314" s="2">
        <v>7</v>
      </c>
      <c r="I1314" s="2" t="s">
        <v>78</v>
      </c>
      <c r="J1314" s="3">
        <v>0.154613466334165</v>
      </c>
      <c r="K1314" s="21">
        <v>1531.66129032258</v>
      </c>
      <c r="L1314" s="21">
        <v>13566.1428571429</v>
      </c>
      <c r="M1314" s="21">
        <v>57.2857142857143</v>
      </c>
      <c r="N1314" s="2" t="s">
        <v>79</v>
      </c>
    </row>
    <row r="1315" s="2" customFormat="1" spans="1:14">
      <c r="A1315" s="20">
        <v>45801</v>
      </c>
      <c r="B1315" s="2" t="s">
        <v>94</v>
      </c>
      <c r="C1315" s="2" t="s">
        <v>95</v>
      </c>
      <c r="D1315" s="2">
        <v>3</v>
      </c>
      <c r="E1315" s="2">
        <v>566</v>
      </c>
      <c r="F1315" s="2">
        <v>77</v>
      </c>
      <c r="G1315" s="2">
        <v>113026</v>
      </c>
      <c r="H1315" s="2">
        <v>4</v>
      </c>
      <c r="I1315" s="2" t="s">
        <v>78</v>
      </c>
      <c r="J1315" s="3">
        <v>0.136042402826855</v>
      </c>
      <c r="K1315" s="21">
        <v>1467.87012987013</v>
      </c>
      <c r="L1315" s="21">
        <v>28256.5</v>
      </c>
      <c r="M1315" s="21">
        <v>141.5</v>
      </c>
      <c r="N1315" s="2" t="s">
        <v>80</v>
      </c>
    </row>
    <row r="1316" s="2" customFormat="1" spans="1:14">
      <c r="A1316" s="20">
        <v>45802</v>
      </c>
      <c r="B1316" s="2" t="s">
        <v>94</v>
      </c>
      <c r="C1316" s="2" t="s">
        <v>95</v>
      </c>
      <c r="D1316" s="2">
        <v>3</v>
      </c>
      <c r="E1316" s="2">
        <v>569</v>
      </c>
      <c r="F1316" s="2">
        <v>93</v>
      </c>
      <c r="G1316" s="2">
        <v>135877</v>
      </c>
      <c r="H1316" s="2">
        <v>8</v>
      </c>
      <c r="I1316" s="2" t="s">
        <v>81</v>
      </c>
      <c r="J1316" s="3">
        <v>0.163444639718805</v>
      </c>
      <c r="K1316" s="21">
        <v>1461.04301075269</v>
      </c>
      <c r="L1316" s="21">
        <v>16984.625</v>
      </c>
      <c r="M1316" s="21">
        <v>71.125</v>
      </c>
      <c r="N1316" s="2" t="s">
        <v>80</v>
      </c>
    </row>
    <row r="1317" s="2" customFormat="1" spans="1:14">
      <c r="A1317" s="20">
        <v>45803</v>
      </c>
      <c r="B1317" s="2" t="s">
        <v>94</v>
      </c>
      <c r="C1317" s="2" t="s">
        <v>95</v>
      </c>
      <c r="D1317" s="2">
        <v>3</v>
      </c>
      <c r="E1317" s="2">
        <v>488</v>
      </c>
      <c r="F1317" s="2">
        <v>76</v>
      </c>
      <c r="G1317" s="2">
        <v>97664</v>
      </c>
      <c r="H1317" s="2">
        <v>4</v>
      </c>
      <c r="I1317" s="2" t="s">
        <v>78</v>
      </c>
      <c r="J1317" s="3">
        <v>0.155737704918033</v>
      </c>
      <c r="K1317" s="21">
        <v>1285.05263157895</v>
      </c>
      <c r="L1317" s="21">
        <v>24416</v>
      </c>
      <c r="M1317" s="21">
        <v>122</v>
      </c>
      <c r="N1317" s="2" t="s">
        <v>79</v>
      </c>
    </row>
    <row r="1318" s="2" customFormat="1" spans="1:14">
      <c r="A1318" s="20">
        <v>45804</v>
      </c>
      <c r="B1318" s="2" t="s">
        <v>94</v>
      </c>
      <c r="C1318" s="2" t="s">
        <v>95</v>
      </c>
      <c r="D1318" s="2">
        <v>3</v>
      </c>
      <c r="E1318" s="2">
        <v>396</v>
      </c>
      <c r="F1318" s="2">
        <v>56</v>
      </c>
      <c r="G1318" s="2">
        <v>73887</v>
      </c>
      <c r="H1318" s="2">
        <v>5</v>
      </c>
      <c r="I1318" s="2" t="s">
        <v>81</v>
      </c>
      <c r="J1318" s="3">
        <v>0.141414141414141</v>
      </c>
      <c r="K1318" s="21">
        <v>1319.41071428571</v>
      </c>
      <c r="L1318" s="21">
        <v>14777.4</v>
      </c>
      <c r="M1318" s="21">
        <v>79.2</v>
      </c>
      <c r="N1318" s="2" t="s">
        <v>79</v>
      </c>
    </row>
    <row r="1319" s="2" customFormat="1" spans="1:14">
      <c r="A1319" s="20">
        <v>45805</v>
      </c>
      <c r="B1319" s="2" t="s">
        <v>94</v>
      </c>
      <c r="C1319" s="2" t="s">
        <v>95</v>
      </c>
      <c r="D1319" s="2">
        <v>3</v>
      </c>
      <c r="E1319" s="2">
        <v>508</v>
      </c>
      <c r="F1319" s="2">
        <v>86</v>
      </c>
      <c r="G1319" s="2">
        <v>142520</v>
      </c>
      <c r="H1319" s="2">
        <v>8</v>
      </c>
      <c r="I1319" s="2" t="s">
        <v>81</v>
      </c>
      <c r="J1319" s="3">
        <v>0.169291338582677</v>
      </c>
      <c r="K1319" s="21">
        <v>1657.20930232558</v>
      </c>
      <c r="L1319" s="21">
        <v>17815</v>
      </c>
      <c r="M1319" s="21">
        <v>63.5</v>
      </c>
      <c r="N1319" s="2" t="s">
        <v>79</v>
      </c>
    </row>
    <row r="1320" s="2" customFormat="1" spans="1:14">
      <c r="A1320" s="20">
        <v>45806</v>
      </c>
      <c r="B1320" s="2" t="s">
        <v>94</v>
      </c>
      <c r="C1320" s="2" t="s">
        <v>95</v>
      </c>
      <c r="D1320" s="2">
        <v>3</v>
      </c>
      <c r="E1320" s="2">
        <v>487</v>
      </c>
      <c r="F1320" s="2">
        <v>69</v>
      </c>
      <c r="G1320" s="2">
        <v>113541</v>
      </c>
      <c r="H1320" s="2">
        <v>4</v>
      </c>
      <c r="I1320" s="2" t="s">
        <v>78</v>
      </c>
      <c r="J1320" s="3">
        <v>0.141683778234086</v>
      </c>
      <c r="K1320" s="21">
        <v>1645.52173913043</v>
      </c>
      <c r="L1320" s="21">
        <v>28385.25</v>
      </c>
      <c r="M1320" s="21">
        <v>121.75</v>
      </c>
      <c r="N1320" s="2" t="s">
        <v>79</v>
      </c>
    </row>
    <row r="1321" s="2" customFormat="1" spans="1:14">
      <c r="A1321" s="20">
        <v>45807</v>
      </c>
      <c r="B1321" s="2" t="s">
        <v>94</v>
      </c>
      <c r="C1321" s="2" t="s">
        <v>95</v>
      </c>
      <c r="D1321" s="2">
        <v>3</v>
      </c>
      <c r="E1321" s="2">
        <v>408</v>
      </c>
      <c r="F1321" s="2">
        <v>65</v>
      </c>
      <c r="G1321" s="2">
        <v>97924</v>
      </c>
      <c r="H1321" s="2">
        <v>5</v>
      </c>
      <c r="I1321" s="2" t="s">
        <v>81</v>
      </c>
      <c r="J1321" s="3">
        <v>0.159313725490196</v>
      </c>
      <c r="K1321" s="21">
        <v>1506.52307692308</v>
      </c>
      <c r="L1321" s="21">
        <v>19584.8</v>
      </c>
      <c r="M1321" s="21">
        <v>81.6</v>
      </c>
      <c r="N1321" s="2" t="s">
        <v>79</v>
      </c>
    </row>
    <row r="1322" s="2" customFormat="1" spans="1:14">
      <c r="A1322" s="20">
        <v>45808</v>
      </c>
      <c r="B1322" s="2" t="s">
        <v>94</v>
      </c>
      <c r="C1322" s="2" t="s">
        <v>95</v>
      </c>
      <c r="D1322" s="2">
        <v>3</v>
      </c>
      <c r="E1322" s="2">
        <v>687</v>
      </c>
      <c r="F1322" s="2">
        <v>119</v>
      </c>
      <c r="G1322" s="2">
        <v>179009</v>
      </c>
      <c r="H1322" s="2">
        <v>8</v>
      </c>
      <c r="I1322" s="2" t="s">
        <v>81</v>
      </c>
      <c r="J1322" s="3">
        <v>0.173216885007278</v>
      </c>
      <c r="K1322" s="21">
        <v>1504.27731092437</v>
      </c>
      <c r="L1322" s="21">
        <v>22376.125</v>
      </c>
      <c r="M1322" s="21">
        <v>85.875</v>
      </c>
      <c r="N1322" s="2" t="s">
        <v>80</v>
      </c>
    </row>
    <row r="1323" s="2" customFormat="1" spans="1:14">
      <c r="A1323" s="20">
        <v>45809</v>
      </c>
      <c r="B1323" s="2" t="s">
        <v>94</v>
      </c>
      <c r="C1323" s="2" t="s">
        <v>95</v>
      </c>
      <c r="D1323" s="2">
        <v>3</v>
      </c>
      <c r="E1323" s="2">
        <v>697</v>
      </c>
      <c r="F1323" s="2">
        <v>108</v>
      </c>
      <c r="G1323" s="2">
        <v>150451</v>
      </c>
      <c r="H1323" s="2">
        <v>6</v>
      </c>
      <c r="I1323" s="2" t="s">
        <v>78</v>
      </c>
      <c r="J1323" s="3">
        <v>0.154949784791966</v>
      </c>
      <c r="K1323" s="21">
        <v>1393.06481481482</v>
      </c>
      <c r="L1323" s="21">
        <v>25075.1666666667</v>
      </c>
      <c r="M1323" s="21">
        <v>116.166666666667</v>
      </c>
      <c r="N1323" s="2" t="s">
        <v>80</v>
      </c>
    </row>
    <row r="1324" s="2" customFormat="1" spans="1:14">
      <c r="A1324" s="20">
        <v>45810</v>
      </c>
      <c r="B1324" s="2" t="s">
        <v>94</v>
      </c>
      <c r="C1324" s="2" t="s">
        <v>95</v>
      </c>
      <c r="D1324" s="2">
        <v>3</v>
      </c>
      <c r="E1324" s="2">
        <v>435</v>
      </c>
      <c r="F1324" s="2">
        <v>67</v>
      </c>
      <c r="G1324" s="2">
        <v>79924</v>
      </c>
      <c r="H1324" s="2">
        <v>9</v>
      </c>
      <c r="I1324" s="2" t="s">
        <v>81</v>
      </c>
      <c r="J1324" s="3">
        <v>0.154022988505747</v>
      </c>
      <c r="K1324" s="21">
        <v>1192.89552238806</v>
      </c>
      <c r="L1324" s="21">
        <v>8880.44444444445</v>
      </c>
      <c r="M1324" s="21">
        <v>48.3333333333333</v>
      </c>
      <c r="N1324" s="2" t="s">
        <v>79</v>
      </c>
    </row>
    <row r="1325" s="2" customFormat="1" spans="1:14">
      <c r="A1325" s="20">
        <v>45811</v>
      </c>
      <c r="B1325" s="2" t="s">
        <v>94</v>
      </c>
      <c r="C1325" s="2" t="s">
        <v>95</v>
      </c>
      <c r="D1325" s="2">
        <v>3</v>
      </c>
      <c r="E1325" s="2">
        <v>552</v>
      </c>
      <c r="F1325" s="2">
        <v>87</v>
      </c>
      <c r="G1325" s="2">
        <v>139681</v>
      </c>
      <c r="H1325" s="2">
        <v>5</v>
      </c>
      <c r="I1325" s="2" t="s">
        <v>78</v>
      </c>
      <c r="J1325" s="3">
        <v>0.157608695652174</v>
      </c>
      <c r="K1325" s="21">
        <v>1605.52873563218</v>
      </c>
      <c r="L1325" s="21">
        <v>27936.2</v>
      </c>
      <c r="M1325" s="21">
        <v>110.4</v>
      </c>
      <c r="N1325" s="2" t="s">
        <v>79</v>
      </c>
    </row>
    <row r="1326" s="2" customFormat="1" spans="1:14">
      <c r="A1326" s="20">
        <v>45812</v>
      </c>
      <c r="B1326" s="2" t="s">
        <v>94</v>
      </c>
      <c r="C1326" s="2" t="s">
        <v>95</v>
      </c>
      <c r="D1326" s="2">
        <v>3</v>
      </c>
      <c r="E1326" s="2">
        <v>454</v>
      </c>
      <c r="F1326" s="2">
        <v>72</v>
      </c>
      <c r="G1326" s="2">
        <v>118048</v>
      </c>
      <c r="H1326" s="2">
        <v>7</v>
      </c>
      <c r="I1326" s="2" t="s">
        <v>81</v>
      </c>
      <c r="J1326" s="3">
        <v>0.158590308370044</v>
      </c>
      <c r="K1326" s="21">
        <v>1639.55555555556</v>
      </c>
      <c r="L1326" s="21">
        <v>16864</v>
      </c>
      <c r="M1326" s="21">
        <v>64.8571428571429</v>
      </c>
      <c r="N1326" s="2" t="s">
        <v>79</v>
      </c>
    </row>
    <row r="1327" s="2" customFormat="1" spans="1:14">
      <c r="A1327" s="20">
        <v>45813</v>
      </c>
      <c r="B1327" s="2" t="s">
        <v>94</v>
      </c>
      <c r="C1327" s="2" t="s">
        <v>95</v>
      </c>
      <c r="D1327" s="2">
        <v>3</v>
      </c>
      <c r="E1327" s="2">
        <v>433</v>
      </c>
      <c r="F1327" s="2">
        <v>70</v>
      </c>
      <c r="G1327" s="2">
        <v>111884</v>
      </c>
      <c r="H1327" s="2">
        <v>9</v>
      </c>
      <c r="I1327" s="2" t="s">
        <v>78</v>
      </c>
      <c r="J1327" s="3">
        <v>0.161662817551963</v>
      </c>
      <c r="K1327" s="21">
        <v>1598.34285714286</v>
      </c>
      <c r="L1327" s="21">
        <v>12431.5555555555</v>
      </c>
      <c r="M1327" s="21">
        <v>48.1111111111111</v>
      </c>
      <c r="N1327" s="2" t="s">
        <v>79</v>
      </c>
    </row>
    <row r="1328" s="2" customFormat="1" spans="1:14">
      <c r="A1328" s="20">
        <v>45814</v>
      </c>
      <c r="B1328" s="2" t="s">
        <v>94</v>
      </c>
      <c r="C1328" s="2" t="s">
        <v>95</v>
      </c>
      <c r="D1328" s="2">
        <v>3</v>
      </c>
      <c r="E1328" s="2">
        <v>496</v>
      </c>
      <c r="F1328" s="2">
        <v>80</v>
      </c>
      <c r="G1328" s="2">
        <v>89913</v>
      </c>
      <c r="H1328" s="2">
        <v>6</v>
      </c>
      <c r="I1328" s="2" t="s">
        <v>78</v>
      </c>
      <c r="J1328" s="3">
        <v>0.161290322580645</v>
      </c>
      <c r="K1328" s="21">
        <v>1123.9125</v>
      </c>
      <c r="L1328" s="21">
        <v>14985.5</v>
      </c>
      <c r="M1328" s="21">
        <v>82.6666666666667</v>
      </c>
      <c r="N1328" s="2" t="s">
        <v>79</v>
      </c>
    </row>
    <row r="1329" s="2" customFormat="1" spans="1:14">
      <c r="A1329" s="20">
        <v>45815</v>
      </c>
      <c r="B1329" s="2" t="s">
        <v>94</v>
      </c>
      <c r="C1329" s="2" t="s">
        <v>95</v>
      </c>
      <c r="D1329" s="2">
        <v>3</v>
      </c>
      <c r="E1329" s="2">
        <v>585</v>
      </c>
      <c r="F1329" s="2">
        <v>102</v>
      </c>
      <c r="G1329" s="2">
        <v>156852</v>
      </c>
      <c r="H1329" s="2">
        <v>8</v>
      </c>
      <c r="I1329" s="2" t="s">
        <v>78</v>
      </c>
      <c r="J1329" s="3">
        <v>0.174358974358974</v>
      </c>
      <c r="K1329" s="21">
        <v>1537.76470588235</v>
      </c>
      <c r="L1329" s="21">
        <v>19606.5</v>
      </c>
      <c r="M1329" s="21">
        <v>73.125</v>
      </c>
      <c r="N1329" s="2" t="s">
        <v>80</v>
      </c>
    </row>
    <row r="1330" s="2" customFormat="1" spans="1:14">
      <c r="A1330" s="20">
        <v>45816</v>
      </c>
      <c r="B1330" s="2" t="s">
        <v>94</v>
      </c>
      <c r="C1330" s="2" t="s">
        <v>95</v>
      </c>
      <c r="D1330" s="2">
        <v>3</v>
      </c>
      <c r="E1330" s="2">
        <v>550</v>
      </c>
      <c r="F1330" s="2">
        <v>85</v>
      </c>
      <c r="G1330" s="2">
        <v>124887</v>
      </c>
      <c r="H1330" s="2">
        <v>8</v>
      </c>
      <c r="I1330" s="2" t="s">
        <v>78</v>
      </c>
      <c r="J1330" s="3">
        <v>0.154545454545455</v>
      </c>
      <c r="K1330" s="21">
        <v>1469.25882352941</v>
      </c>
      <c r="L1330" s="21">
        <v>15610.875</v>
      </c>
      <c r="M1330" s="21">
        <v>68.75</v>
      </c>
      <c r="N1330" s="2" t="s">
        <v>80</v>
      </c>
    </row>
    <row r="1331" s="2" customFormat="1" spans="1:14">
      <c r="A1331" s="20">
        <v>45817</v>
      </c>
      <c r="B1331" s="2" t="s">
        <v>94</v>
      </c>
      <c r="C1331" s="2" t="s">
        <v>95</v>
      </c>
      <c r="D1331" s="2">
        <v>3</v>
      </c>
      <c r="E1331" s="2">
        <v>398</v>
      </c>
      <c r="F1331" s="2">
        <v>60</v>
      </c>
      <c r="G1331" s="2">
        <v>85490</v>
      </c>
      <c r="H1331" s="2">
        <v>7</v>
      </c>
      <c r="I1331" s="2" t="s">
        <v>78</v>
      </c>
      <c r="J1331" s="3">
        <v>0.150753768844221</v>
      </c>
      <c r="K1331" s="21">
        <v>1424.83333333333</v>
      </c>
      <c r="L1331" s="21">
        <v>12212.8571428571</v>
      </c>
      <c r="M1331" s="21">
        <v>56.8571428571428</v>
      </c>
      <c r="N1331" s="2" t="s">
        <v>79</v>
      </c>
    </row>
    <row r="1332" s="2" customFormat="1" spans="1:14">
      <c r="A1332" s="20">
        <v>45818</v>
      </c>
      <c r="B1332" s="2" t="s">
        <v>94</v>
      </c>
      <c r="C1332" s="2" t="s">
        <v>95</v>
      </c>
      <c r="D1332" s="2">
        <v>3</v>
      </c>
      <c r="E1332" s="2">
        <v>448</v>
      </c>
      <c r="F1332" s="2">
        <v>73</v>
      </c>
      <c r="G1332" s="2">
        <v>123866</v>
      </c>
      <c r="H1332" s="2">
        <v>4</v>
      </c>
      <c r="I1332" s="2" t="s">
        <v>78</v>
      </c>
      <c r="J1332" s="3">
        <v>0.162946428571429</v>
      </c>
      <c r="K1332" s="21">
        <v>1696.79452054795</v>
      </c>
      <c r="L1332" s="21">
        <v>30966.5</v>
      </c>
      <c r="M1332" s="21">
        <v>112</v>
      </c>
      <c r="N1332" s="2" t="s">
        <v>79</v>
      </c>
    </row>
    <row r="1333" s="2" customFormat="1" spans="1:14">
      <c r="A1333" s="20">
        <v>45819</v>
      </c>
      <c r="B1333" s="2" t="s">
        <v>94</v>
      </c>
      <c r="C1333" s="2" t="s">
        <v>95</v>
      </c>
      <c r="D1333" s="2">
        <v>3</v>
      </c>
      <c r="E1333" s="2">
        <v>408</v>
      </c>
      <c r="F1333" s="2">
        <v>67</v>
      </c>
      <c r="G1333" s="2">
        <v>76369</v>
      </c>
      <c r="H1333" s="2">
        <v>6</v>
      </c>
      <c r="I1333" s="2" t="s">
        <v>78</v>
      </c>
      <c r="J1333" s="3">
        <v>0.16421568627451</v>
      </c>
      <c r="K1333" s="21">
        <v>1139.83582089552</v>
      </c>
      <c r="L1333" s="21">
        <v>12728.1666666667</v>
      </c>
      <c r="M1333" s="21">
        <v>68</v>
      </c>
      <c r="N1333" s="2" t="s">
        <v>79</v>
      </c>
    </row>
    <row r="1334" s="2" customFormat="1" spans="1:14">
      <c r="A1334" s="20">
        <v>45820</v>
      </c>
      <c r="B1334" s="2" t="s">
        <v>94</v>
      </c>
      <c r="C1334" s="2" t="s">
        <v>95</v>
      </c>
      <c r="D1334" s="2">
        <v>3</v>
      </c>
      <c r="E1334" s="2">
        <v>529</v>
      </c>
      <c r="F1334" s="2">
        <v>79</v>
      </c>
      <c r="G1334" s="2">
        <v>131915</v>
      </c>
      <c r="H1334" s="2">
        <v>9</v>
      </c>
      <c r="I1334" s="2" t="s">
        <v>78</v>
      </c>
      <c r="J1334" s="3">
        <v>0.149338374291115</v>
      </c>
      <c r="K1334" s="21">
        <v>1669.81012658228</v>
      </c>
      <c r="L1334" s="21">
        <v>14657.2222222222</v>
      </c>
      <c r="M1334" s="21">
        <v>58.7777777777778</v>
      </c>
      <c r="N1334" s="2" t="s">
        <v>79</v>
      </c>
    </row>
    <row r="1335" s="2" customFormat="1" spans="1:14">
      <c r="A1335" s="20">
        <v>45821</v>
      </c>
      <c r="B1335" s="2" t="s">
        <v>94</v>
      </c>
      <c r="C1335" s="2" t="s">
        <v>95</v>
      </c>
      <c r="D1335" s="2">
        <v>3</v>
      </c>
      <c r="E1335" s="2">
        <v>509</v>
      </c>
      <c r="F1335" s="2">
        <v>83</v>
      </c>
      <c r="G1335" s="2">
        <v>93012</v>
      </c>
      <c r="H1335" s="2">
        <v>9</v>
      </c>
      <c r="I1335" s="2" t="s">
        <v>78</v>
      </c>
      <c r="J1335" s="3">
        <v>0.163064833005894</v>
      </c>
      <c r="K1335" s="21">
        <v>1120.6265060241</v>
      </c>
      <c r="L1335" s="21">
        <v>10334.6666666667</v>
      </c>
      <c r="M1335" s="21">
        <v>56.5555555555556</v>
      </c>
      <c r="N1335" s="2" t="s">
        <v>79</v>
      </c>
    </row>
    <row r="1336" s="2" customFormat="1" spans="1:14">
      <c r="A1336" s="20">
        <v>45822</v>
      </c>
      <c r="B1336" s="2" t="s">
        <v>94</v>
      </c>
      <c r="C1336" s="2" t="s">
        <v>95</v>
      </c>
      <c r="D1336" s="2">
        <v>3</v>
      </c>
      <c r="E1336" s="2">
        <v>764</v>
      </c>
      <c r="F1336" s="2">
        <v>123</v>
      </c>
      <c r="G1336" s="2">
        <v>135321</v>
      </c>
      <c r="H1336" s="2">
        <v>7</v>
      </c>
      <c r="I1336" s="2" t="s">
        <v>81</v>
      </c>
      <c r="J1336" s="3">
        <v>0.160994764397906</v>
      </c>
      <c r="K1336" s="21">
        <v>1100.17073170732</v>
      </c>
      <c r="L1336" s="21">
        <v>19331.5714285714</v>
      </c>
      <c r="M1336" s="21">
        <v>109.142857142857</v>
      </c>
      <c r="N1336" s="2" t="s">
        <v>80</v>
      </c>
    </row>
    <row r="1337" s="2" customFormat="1" spans="1:14">
      <c r="A1337" s="20">
        <v>45823</v>
      </c>
      <c r="B1337" s="2" t="s">
        <v>94</v>
      </c>
      <c r="C1337" s="2" t="s">
        <v>95</v>
      </c>
      <c r="D1337" s="2">
        <v>3</v>
      </c>
      <c r="E1337" s="2">
        <v>619</v>
      </c>
      <c r="F1337" s="2">
        <v>93</v>
      </c>
      <c r="G1337" s="2">
        <v>136618</v>
      </c>
      <c r="H1337" s="2">
        <v>8</v>
      </c>
      <c r="I1337" s="2" t="s">
        <v>78</v>
      </c>
      <c r="J1337" s="3">
        <v>0.150242326332795</v>
      </c>
      <c r="K1337" s="21">
        <v>1469.01075268817</v>
      </c>
      <c r="L1337" s="21">
        <v>17077.25</v>
      </c>
      <c r="M1337" s="21">
        <v>77.375</v>
      </c>
      <c r="N1337" s="2" t="s">
        <v>80</v>
      </c>
    </row>
    <row r="1338" s="2" customFormat="1" spans="1:14">
      <c r="A1338" s="20">
        <v>45824</v>
      </c>
      <c r="B1338" s="2" t="s">
        <v>94</v>
      </c>
      <c r="C1338" s="2" t="s">
        <v>95</v>
      </c>
      <c r="D1338" s="2">
        <v>3</v>
      </c>
      <c r="E1338" s="2">
        <v>419</v>
      </c>
      <c r="F1338" s="2">
        <v>64</v>
      </c>
      <c r="G1338" s="2">
        <v>70576</v>
      </c>
      <c r="H1338" s="2">
        <v>6</v>
      </c>
      <c r="I1338" s="2" t="s">
        <v>78</v>
      </c>
      <c r="J1338" s="3">
        <v>0.152744630071599</v>
      </c>
      <c r="K1338" s="21">
        <v>1102.75</v>
      </c>
      <c r="L1338" s="21">
        <v>11762.6666666667</v>
      </c>
      <c r="M1338" s="21">
        <v>69.8333333333333</v>
      </c>
      <c r="N1338" s="2" t="s">
        <v>79</v>
      </c>
    </row>
    <row r="1339" s="2" customFormat="1" spans="1:14">
      <c r="A1339" s="20">
        <v>45825</v>
      </c>
      <c r="B1339" s="2" t="s">
        <v>94</v>
      </c>
      <c r="C1339" s="2" t="s">
        <v>95</v>
      </c>
      <c r="D1339" s="2">
        <v>3</v>
      </c>
      <c r="E1339" s="2">
        <v>464</v>
      </c>
      <c r="F1339" s="2">
        <v>64</v>
      </c>
      <c r="G1339" s="2">
        <v>72754</v>
      </c>
      <c r="H1339" s="2">
        <v>4</v>
      </c>
      <c r="I1339" s="2" t="s">
        <v>78</v>
      </c>
      <c r="J1339" s="3">
        <v>0.137931034482759</v>
      </c>
      <c r="K1339" s="21">
        <v>1136.78125</v>
      </c>
      <c r="L1339" s="21">
        <v>18188.5</v>
      </c>
      <c r="M1339" s="21">
        <v>116</v>
      </c>
      <c r="N1339" s="2" t="s">
        <v>79</v>
      </c>
    </row>
    <row r="1340" s="2" customFormat="1" spans="1:14">
      <c r="A1340" s="20">
        <v>45826</v>
      </c>
      <c r="B1340" s="2" t="s">
        <v>94</v>
      </c>
      <c r="C1340" s="2" t="s">
        <v>95</v>
      </c>
      <c r="D1340" s="2">
        <v>3</v>
      </c>
      <c r="E1340" s="2">
        <v>393</v>
      </c>
      <c r="F1340" s="2">
        <v>61</v>
      </c>
      <c r="G1340" s="2">
        <v>76163</v>
      </c>
      <c r="H1340" s="2">
        <v>9</v>
      </c>
      <c r="I1340" s="2" t="s">
        <v>78</v>
      </c>
      <c r="J1340" s="3">
        <v>0.155216284987277</v>
      </c>
      <c r="K1340" s="21">
        <v>1248.5737704918</v>
      </c>
      <c r="L1340" s="21">
        <v>8462.55555555555</v>
      </c>
      <c r="M1340" s="21">
        <v>43.6666666666667</v>
      </c>
      <c r="N1340" s="2" t="s">
        <v>79</v>
      </c>
    </row>
    <row r="1341" s="2" customFormat="1" spans="1:14">
      <c r="A1341" s="20">
        <v>45827</v>
      </c>
      <c r="B1341" s="2" t="s">
        <v>94</v>
      </c>
      <c r="C1341" s="2" t="s">
        <v>95</v>
      </c>
      <c r="D1341" s="2">
        <v>3</v>
      </c>
      <c r="E1341" s="2">
        <v>426</v>
      </c>
      <c r="F1341" s="2">
        <v>67</v>
      </c>
      <c r="G1341" s="2">
        <v>88208</v>
      </c>
      <c r="H1341" s="2">
        <v>7</v>
      </c>
      <c r="I1341" s="2" t="s">
        <v>78</v>
      </c>
      <c r="J1341" s="3">
        <v>0.157276995305164</v>
      </c>
      <c r="K1341" s="21">
        <v>1316.53731343284</v>
      </c>
      <c r="L1341" s="21">
        <v>12601.1428571429</v>
      </c>
      <c r="M1341" s="21">
        <v>60.8571428571428</v>
      </c>
      <c r="N1341" s="2" t="s">
        <v>79</v>
      </c>
    </row>
    <row r="1342" s="2" customFormat="1" spans="1:14">
      <c r="A1342" s="20">
        <v>45828</v>
      </c>
      <c r="B1342" s="2" t="s">
        <v>94</v>
      </c>
      <c r="C1342" s="2" t="s">
        <v>95</v>
      </c>
      <c r="D1342" s="2">
        <v>3</v>
      </c>
      <c r="E1342" s="2">
        <v>467</v>
      </c>
      <c r="F1342" s="2">
        <v>81</v>
      </c>
      <c r="G1342" s="2">
        <v>117411</v>
      </c>
      <c r="H1342" s="2">
        <v>8</v>
      </c>
      <c r="I1342" s="2" t="s">
        <v>78</v>
      </c>
      <c r="J1342" s="3">
        <v>0.173447537473233</v>
      </c>
      <c r="K1342" s="21">
        <v>1449.51851851852</v>
      </c>
      <c r="L1342" s="21">
        <v>14676.375</v>
      </c>
      <c r="M1342" s="21">
        <v>58.375</v>
      </c>
      <c r="N1342" s="2" t="s">
        <v>79</v>
      </c>
    </row>
    <row r="1343" s="2" customFormat="1" spans="1:14">
      <c r="A1343" s="20">
        <v>45829</v>
      </c>
      <c r="B1343" s="2" t="s">
        <v>94</v>
      </c>
      <c r="C1343" s="2" t="s">
        <v>95</v>
      </c>
      <c r="D1343" s="2">
        <v>3</v>
      </c>
      <c r="E1343" s="2">
        <v>606</v>
      </c>
      <c r="F1343" s="2">
        <v>91</v>
      </c>
      <c r="G1343" s="2">
        <v>118905</v>
      </c>
      <c r="H1343" s="2">
        <v>6</v>
      </c>
      <c r="I1343" s="2" t="s">
        <v>78</v>
      </c>
      <c r="J1343" s="3">
        <v>0.15016501650165</v>
      </c>
      <c r="K1343" s="21">
        <v>1306.64835164835</v>
      </c>
      <c r="L1343" s="21">
        <v>19817.5</v>
      </c>
      <c r="M1343" s="21">
        <v>101</v>
      </c>
      <c r="N1343" s="2" t="s">
        <v>80</v>
      </c>
    </row>
    <row r="1344" s="2" customFormat="1" spans="1:14">
      <c r="A1344" s="20">
        <v>45830</v>
      </c>
      <c r="B1344" s="2" t="s">
        <v>94</v>
      </c>
      <c r="C1344" s="2" t="s">
        <v>95</v>
      </c>
      <c r="D1344" s="2">
        <v>3</v>
      </c>
      <c r="E1344" s="2">
        <v>680</v>
      </c>
      <c r="F1344" s="2">
        <v>120</v>
      </c>
      <c r="G1344" s="2">
        <v>148716</v>
      </c>
      <c r="H1344" s="2">
        <v>9</v>
      </c>
      <c r="I1344" s="2" t="s">
        <v>78</v>
      </c>
      <c r="J1344" s="3">
        <v>0.176470588235294</v>
      </c>
      <c r="K1344" s="21">
        <v>1239.3</v>
      </c>
      <c r="L1344" s="21">
        <v>16524</v>
      </c>
      <c r="M1344" s="21">
        <v>75.5555555555556</v>
      </c>
      <c r="N1344" s="2" t="s">
        <v>80</v>
      </c>
    </row>
    <row r="1345" s="2" customFormat="1" spans="1:14">
      <c r="A1345" s="20">
        <v>45831</v>
      </c>
      <c r="B1345" s="2" t="s">
        <v>94</v>
      </c>
      <c r="C1345" s="2" t="s">
        <v>95</v>
      </c>
      <c r="D1345" s="2">
        <v>3</v>
      </c>
      <c r="E1345" s="2">
        <v>473</v>
      </c>
      <c r="F1345" s="2">
        <v>81</v>
      </c>
      <c r="G1345" s="2">
        <v>94569</v>
      </c>
      <c r="H1345" s="2">
        <v>8</v>
      </c>
      <c r="I1345" s="2" t="s">
        <v>78</v>
      </c>
      <c r="J1345" s="3">
        <v>0.171247357293869</v>
      </c>
      <c r="K1345" s="21">
        <v>1167.51851851852</v>
      </c>
      <c r="L1345" s="21">
        <v>11821.125</v>
      </c>
      <c r="M1345" s="21">
        <v>59.125</v>
      </c>
      <c r="N1345" s="2" t="s">
        <v>79</v>
      </c>
    </row>
    <row r="1346" s="2" customFormat="1" spans="1:14">
      <c r="A1346" s="20">
        <v>45832</v>
      </c>
      <c r="B1346" s="2" t="s">
        <v>94</v>
      </c>
      <c r="C1346" s="2" t="s">
        <v>95</v>
      </c>
      <c r="D1346" s="2">
        <v>3</v>
      </c>
      <c r="E1346" s="2">
        <v>433</v>
      </c>
      <c r="F1346" s="2">
        <v>66</v>
      </c>
      <c r="G1346" s="2">
        <v>79586</v>
      </c>
      <c r="H1346" s="2">
        <v>5</v>
      </c>
      <c r="I1346" s="2" t="s">
        <v>78</v>
      </c>
      <c r="J1346" s="3">
        <v>0.152424942263279</v>
      </c>
      <c r="K1346" s="21">
        <v>1205.84848484848</v>
      </c>
      <c r="L1346" s="21">
        <v>15917.2</v>
      </c>
      <c r="M1346" s="21">
        <v>86.6</v>
      </c>
      <c r="N1346" s="2" t="s">
        <v>79</v>
      </c>
    </row>
    <row r="1347" s="2" customFormat="1" spans="1:14">
      <c r="A1347" s="20">
        <v>45833</v>
      </c>
      <c r="B1347" s="2" t="s">
        <v>94</v>
      </c>
      <c r="C1347" s="2" t="s">
        <v>95</v>
      </c>
      <c r="D1347" s="2">
        <v>3</v>
      </c>
      <c r="E1347" s="2">
        <v>429</v>
      </c>
      <c r="F1347" s="2">
        <v>70</v>
      </c>
      <c r="G1347" s="2">
        <v>114790</v>
      </c>
      <c r="H1347" s="2">
        <v>6</v>
      </c>
      <c r="I1347" s="2" t="s">
        <v>78</v>
      </c>
      <c r="J1347" s="3">
        <v>0.163170163170163</v>
      </c>
      <c r="K1347" s="21">
        <v>1639.85714285714</v>
      </c>
      <c r="L1347" s="21">
        <v>19131.6666666667</v>
      </c>
      <c r="M1347" s="21">
        <v>71.5</v>
      </c>
      <c r="N1347" s="2" t="s">
        <v>79</v>
      </c>
    </row>
    <row r="1348" s="2" customFormat="1" spans="1:14">
      <c r="A1348" s="20">
        <v>45834</v>
      </c>
      <c r="B1348" s="2" t="s">
        <v>94</v>
      </c>
      <c r="C1348" s="2" t="s">
        <v>95</v>
      </c>
      <c r="D1348" s="2">
        <v>3</v>
      </c>
      <c r="E1348" s="2">
        <v>467</v>
      </c>
      <c r="F1348" s="2">
        <v>70</v>
      </c>
      <c r="G1348" s="2">
        <v>100476</v>
      </c>
      <c r="H1348" s="2">
        <v>5</v>
      </c>
      <c r="I1348" s="2" t="s">
        <v>78</v>
      </c>
      <c r="J1348" s="3">
        <v>0.149892933618844</v>
      </c>
      <c r="K1348" s="21">
        <v>1435.37142857143</v>
      </c>
      <c r="L1348" s="21">
        <v>20095.2</v>
      </c>
      <c r="M1348" s="21">
        <v>93.4</v>
      </c>
      <c r="N1348" s="2" t="s">
        <v>79</v>
      </c>
    </row>
    <row r="1349" s="2" customFormat="1" spans="1:14">
      <c r="A1349" s="20">
        <v>45835</v>
      </c>
      <c r="B1349" s="2" t="s">
        <v>94</v>
      </c>
      <c r="C1349" s="2" t="s">
        <v>95</v>
      </c>
      <c r="D1349" s="2">
        <v>3</v>
      </c>
      <c r="E1349" s="2">
        <v>497</v>
      </c>
      <c r="F1349" s="2">
        <v>72</v>
      </c>
      <c r="G1349" s="2">
        <v>82403</v>
      </c>
      <c r="H1349" s="2">
        <v>6</v>
      </c>
      <c r="I1349" s="2" t="s">
        <v>78</v>
      </c>
      <c r="J1349" s="3">
        <v>0.144869215291751</v>
      </c>
      <c r="K1349" s="21">
        <v>1144.48611111111</v>
      </c>
      <c r="L1349" s="21">
        <v>13733.8333333333</v>
      </c>
      <c r="M1349" s="21">
        <v>82.8333333333333</v>
      </c>
      <c r="N1349" s="2" t="s">
        <v>79</v>
      </c>
    </row>
    <row r="1350" s="2" customFormat="1" spans="1:14">
      <c r="A1350" s="20">
        <v>45836</v>
      </c>
      <c r="B1350" s="2" t="s">
        <v>94</v>
      </c>
      <c r="C1350" s="2" t="s">
        <v>95</v>
      </c>
      <c r="D1350" s="2">
        <v>3</v>
      </c>
      <c r="E1350" s="2">
        <v>730</v>
      </c>
      <c r="F1350" s="2">
        <v>130</v>
      </c>
      <c r="G1350" s="2">
        <v>216562</v>
      </c>
      <c r="H1350" s="2">
        <v>9</v>
      </c>
      <c r="I1350" s="2" t="s">
        <v>78</v>
      </c>
      <c r="J1350" s="3">
        <v>0.178082191780822</v>
      </c>
      <c r="K1350" s="21">
        <v>1665.86153846154</v>
      </c>
      <c r="L1350" s="21">
        <v>24062.4444444444</v>
      </c>
      <c r="M1350" s="21">
        <v>81.1111111111111</v>
      </c>
      <c r="N1350" s="2" t="s">
        <v>80</v>
      </c>
    </row>
    <row r="1351" s="2" customFormat="1" spans="1:14">
      <c r="A1351" s="20">
        <v>45837</v>
      </c>
      <c r="B1351" s="2" t="s">
        <v>94</v>
      </c>
      <c r="C1351" s="2" t="s">
        <v>95</v>
      </c>
      <c r="D1351" s="2">
        <v>3</v>
      </c>
      <c r="E1351" s="2">
        <v>694</v>
      </c>
      <c r="F1351" s="2">
        <v>100</v>
      </c>
      <c r="G1351" s="2">
        <v>140860</v>
      </c>
      <c r="H1351" s="2">
        <v>4</v>
      </c>
      <c r="I1351" s="2" t="s">
        <v>78</v>
      </c>
      <c r="J1351" s="3">
        <v>0.144092219020173</v>
      </c>
      <c r="K1351" s="21">
        <v>1408.6</v>
      </c>
      <c r="L1351" s="21">
        <v>35215</v>
      </c>
      <c r="M1351" s="21">
        <v>173.5</v>
      </c>
      <c r="N1351" s="2" t="s">
        <v>80</v>
      </c>
    </row>
    <row r="1352" s="2" customFormat="1" spans="1:14">
      <c r="A1352" s="20">
        <v>45838</v>
      </c>
      <c r="B1352" s="2" t="s">
        <v>94</v>
      </c>
      <c r="C1352" s="2" t="s">
        <v>95</v>
      </c>
      <c r="D1352" s="2">
        <v>3</v>
      </c>
      <c r="E1352" s="2">
        <v>528</v>
      </c>
      <c r="F1352" s="2">
        <v>73</v>
      </c>
      <c r="G1352" s="2">
        <v>121391</v>
      </c>
      <c r="H1352" s="2">
        <v>4</v>
      </c>
      <c r="I1352" s="2" t="s">
        <v>78</v>
      </c>
      <c r="J1352" s="3">
        <v>0.138257575757576</v>
      </c>
      <c r="K1352" s="21">
        <v>1662.8904109589</v>
      </c>
      <c r="L1352" s="21">
        <v>30347.75</v>
      </c>
      <c r="M1352" s="21">
        <v>132</v>
      </c>
      <c r="N1352" s="2" t="s">
        <v>79</v>
      </c>
    </row>
    <row r="1353" s="2" customFormat="1" spans="1:14">
      <c r="A1353" s="20">
        <v>45839</v>
      </c>
      <c r="B1353" s="2" t="s">
        <v>94</v>
      </c>
      <c r="C1353" s="2" t="s">
        <v>95</v>
      </c>
      <c r="D1353" s="2">
        <v>3</v>
      </c>
      <c r="E1353" s="2">
        <v>396</v>
      </c>
      <c r="F1353" s="2">
        <v>65</v>
      </c>
      <c r="G1353" s="2">
        <v>106076</v>
      </c>
      <c r="H1353" s="2">
        <v>9</v>
      </c>
      <c r="I1353" s="2" t="s">
        <v>78</v>
      </c>
      <c r="J1353" s="3">
        <v>0.164141414141414</v>
      </c>
      <c r="K1353" s="21">
        <v>1631.93846153846</v>
      </c>
      <c r="L1353" s="21">
        <v>11786.2222222222</v>
      </c>
      <c r="M1353" s="21">
        <v>44</v>
      </c>
      <c r="N1353" s="2" t="s">
        <v>79</v>
      </c>
    </row>
    <row r="1354" s="2" customFormat="1" spans="1:14">
      <c r="A1354" s="20">
        <v>45840</v>
      </c>
      <c r="B1354" s="2" t="s">
        <v>94</v>
      </c>
      <c r="C1354" s="2" t="s">
        <v>95</v>
      </c>
      <c r="D1354" s="2">
        <v>3</v>
      </c>
      <c r="E1354" s="2">
        <v>471</v>
      </c>
      <c r="F1354" s="2">
        <v>65</v>
      </c>
      <c r="G1354" s="2">
        <v>80621</v>
      </c>
      <c r="H1354" s="2">
        <v>5</v>
      </c>
      <c r="I1354" s="2" t="s">
        <v>81</v>
      </c>
      <c r="J1354" s="3">
        <v>0.138004246284501</v>
      </c>
      <c r="K1354" s="21">
        <v>1240.32307692308</v>
      </c>
      <c r="L1354" s="21">
        <v>16124.2</v>
      </c>
      <c r="M1354" s="21">
        <v>94.2</v>
      </c>
      <c r="N1354" s="2" t="s">
        <v>79</v>
      </c>
    </row>
    <row r="1355" s="2" customFormat="1" spans="1:14">
      <c r="A1355" s="20">
        <v>45841</v>
      </c>
      <c r="B1355" s="2" t="s">
        <v>94</v>
      </c>
      <c r="C1355" s="2" t="s">
        <v>95</v>
      </c>
      <c r="D1355" s="2">
        <v>3</v>
      </c>
      <c r="E1355" s="2">
        <v>550</v>
      </c>
      <c r="F1355" s="2">
        <v>93</v>
      </c>
      <c r="G1355" s="2">
        <v>117139</v>
      </c>
      <c r="H1355" s="2">
        <v>7</v>
      </c>
      <c r="I1355" s="2" t="s">
        <v>78</v>
      </c>
      <c r="J1355" s="3">
        <v>0.169090909090909</v>
      </c>
      <c r="K1355" s="21">
        <v>1259.55913978495</v>
      </c>
      <c r="L1355" s="21">
        <v>16734.1428571429</v>
      </c>
      <c r="M1355" s="21">
        <v>78.5714285714286</v>
      </c>
      <c r="N1355" s="2" t="s">
        <v>79</v>
      </c>
    </row>
    <row r="1356" s="2" customFormat="1" spans="1:14">
      <c r="A1356" s="20">
        <v>45842</v>
      </c>
      <c r="B1356" s="2" t="s">
        <v>94</v>
      </c>
      <c r="C1356" s="2" t="s">
        <v>95</v>
      </c>
      <c r="D1356" s="2">
        <v>3</v>
      </c>
      <c r="E1356" s="2">
        <v>417</v>
      </c>
      <c r="F1356" s="2">
        <v>61</v>
      </c>
      <c r="G1356" s="2">
        <v>87005</v>
      </c>
      <c r="H1356" s="2">
        <v>7</v>
      </c>
      <c r="I1356" s="2" t="s">
        <v>78</v>
      </c>
      <c r="J1356" s="3">
        <v>0.146282973621103</v>
      </c>
      <c r="K1356" s="21">
        <v>1426.31147540984</v>
      </c>
      <c r="L1356" s="21">
        <v>12429.2857142857</v>
      </c>
      <c r="M1356" s="21">
        <v>59.5714285714286</v>
      </c>
      <c r="N1356" s="2" t="s">
        <v>79</v>
      </c>
    </row>
    <row r="1357" s="2" customFormat="1" spans="1:14">
      <c r="A1357" s="20">
        <v>45843</v>
      </c>
      <c r="B1357" s="2" t="s">
        <v>94</v>
      </c>
      <c r="C1357" s="2" t="s">
        <v>95</v>
      </c>
      <c r="D1357" s="2">
        <v>3</v>
      </c>
      <c r="E1357" s="2">
        <v>628</v>
      </c>
      <c r="F1357" s="2">
        <v>98</v>
      </c>
      <c r="G1357" s="2">
        <v>162143</v>
      </c>
      <c r="H1357" s="2">
        <v>5</v>
      </c>
      <c r="I1357" s="2" t="s">
        <v>78</v>
      </c>
      <c r="J1357" s="3">
        <v>0.156050955414013</v>
      </c>
      <c r="K1357" s="21">
        <v>1654.52040816327</v>
      </c>
      <c r="L1357" s="21">
        <v>32428.6</v>
      </c>
      <c r="M1357" s="21">
        <v>125.6</v>
      </c>
      <c r="N1357" s="2" t="s">
        <v>80</v>
      </c>
    </row>
    <row r="1358" s="2" customFormat="1" spans="1:14">
      <c r="A1358" s="20">
        <v>45844</v>
      </c>
      <c r="B1358" s="2" t="s">
        <v>94</v>
      </c>
      <c r="C1358" s="2" t="s">
        <v>95</v>
      </c>
      <c r="D1358" s="2">
        <v>3</v>
      </c>
      <c r="E1358" s="2">
        <v>609</v>
      </c>
      <c r="F1358" s="2">
        <v>99</v>
      </c>
      <c r="G1358" s="2">
        <v>113040</v>
      </c>
      <c r="H1358" s="2">
        <v>9</v>
      </c>
      <c r="I1358" s="2" t="s">
        <v>78</v>
      </c>
      <c r="J1358" s="3">
        <v>0.16256157635468</v>
      </c>
      <c r="K1358" s="21">
        <v>1141.81818181818</v>
      </c>
      <c r="L1358" s="21">
        <v>12560</v>
      </c>
      <c r="M1358" s="21">
        <v>67.6666666666667</v>
      </c>
      <c r="N1358" s="2" t="s">
        <v>80</v>
      </c>
    </row>
    <row r="1359" s="2" customFormat="1" spans="1:14">
      <c r="A1359" s="20">
        <v>45845</v>
      </c>
      <c r="B1359" s="2" t="s">
        <v>94</v>
      </c>
      <c r="C1359" s="2" t="s">
        <v>95</v>
      </c>
      <c r="D1359" s="2">
        <v>3</v>
      </c>
      <c r="E1359" s="2">
        <v>364</v>
      </c>
      <c r="F1359" s="2">
        <v>58</v>
      </c>
      <c r="G1359" s="2">
        <v>92969</v>
      </c>
      <c r="H1359" s="2">
        <v>6</v>
      </c>
      <c r="I1359" s="2" t="s">
        <v>81</v>
      </c>
      <c r="J1359" s="3">
        <v>0.159340659340659</v>
      </c>
      <c r="K1359" s="21">
        <v>1602.91379310345</v>
      </c>
      <c r="L1359" s="21">
        <v>15494.8333333333</v>
      </c>
      <c r="M1359" s="21">
        <v>60.6666666666667</v>
      </c>
      <c r="N1359" s="2" t="s">
        <v>79</v>
      </c>
    </row>
    <row r="1360" s="2" customFormat="1" spans="1:14">
      <c r="A1360" s="20">
        <v>45846</v>
      </c>
      <c r="B1360" s="2" t="s">
        <v>94</v>
      </c>
      <c r="C1360" s="2" t="s">
        <v>95</v>
      </c>
      <c r="D1360" s="2">
        <v>3</v>
      </c>
      <c r="E1360" s="2">
        <v>558</v>
      </c>
      <c r="F1360" s="2">
        <v>79</v>
      </c>
      <c r="G1360" s="2">
        <v>104523</v>
      </c>
      <c r="H1360" s="2">
        <v>6</v>
      </c>
      <c r="I1360" s="2" t="s">
        <v>78</v>
      </c>
      <c r="J1360" s="3">
        <v>0.1415770609319</v>
      </c>
      <c r="K1360" s="21">
        <v>1323.07594936709</v>
      </c>
      <c r="L1360" s="21">
        <v>17420.5</v>
      </c>
      <c r="M1360" s="21">
        <v>93</v>
      </c>
      <c r="N1360" s="2" t="s">
        <v>79</v>
      </c>
    </row>
    <row r="1361" s="2" customFormat="1" spans="1:14">
      <c r="A1361" s="20">
        <v>45847</v>
      </c>
      <c r="B1361" s="2" t="s">
        <v>94</v>
      </c>
      <c r="C1361" s="2" t="s">
        <v>95</v>
      </c>
      <c r="D1361" s="2">
        <v>3</v>
      </c>
      <c r="E1361" s="2">
        <v>376</v>
      </c>
      <c r="F1361" s="2">
        <v>59</v>
      </c>
      <c r="G1361" s="2">
        <v>99915</v>
      </c>
      <c r="H1361" s="2">
        <v>5</v>
      </c>
      <c r="I1361" s="2" t="s">
        <v>78</v>
      </c>
      <c r="J1361" s="3">
        <v>0.156914893617021</v>
      </c>
      <c r="K1361" s="21">
        <v>1693.47457627119</v>
      </c>
      <c r="L1361" s="21">
        <v>19983</v>
      </c>
      <c r="M1361" s="21">
        <v>75.2</v>
      </c>
      <c r="N1361" s="2" t="s">
        <v>79</v>
      </c>
    </row>
    <row r="1362" s="2" customFormat="1" spans="1:14">
      <c r="A1362" s="20">
        <v>45848</v>
      </c>
      <c r="B1362" s="2" t="s">
        <v>94</v>
      </c>
      <c r="C1362" s="2" t="s">
        <v>95</v>
      </c>
      <c r="D1362" s="2">
        <v>3</v>
      </c>
      <c r="E1362" s="2">
        <v>565</v>
      </c>
      <c r="F1362" s="2">
        <v>88</v>
      </c>
      <c r="G1362" s="2">
        <v>116098</v>
      </c>
      <c r="H1362" s="2">
        <v>8</v>
      </c>
      <c r="I1362" s="2" t="s">
        <v>81</v>
      </c>
      <c r="J1362" s="3">
        <v>0.155752212389381</v>
      </c>
      <c r="K1362" s="21">
        <v>1319.29545454545</v>
      </c>
      <c r="L1362" s="21">
        <v>14512.25</v>
      </c>
      <c r="M1362" s="21">
        <v>70.625</v>
      </c>
      <c r="N1362" s="2" t="s">
        <v>79</v>
      </c>
    </row>
    <row r="1363" s="2" customFormat="1" spans="1:14">
      <c r="A1363" s="20">
        <v>45849</v>
      </c>
      <c r="B1363" s="2" t="s">
        <v>94</v>
      </c>
      <c r="C1363" s="2" t="s">
        <v>95</v>
      </c>
      <c r="D1363" s="2">
        <v>3</v>
      </c>
      <c r="E1363" s="2">
        <v>484</v>
      </c>
      <c r="F1363" s="2">
        <v>75</v>
      </c>
      <c r="G1363" s="2">
        <v>118956</v>
      </c>
      <c r="H1363" s="2">
        <v>6</v>
      </c>
      <c r="I1363" s="2" t="s">
        <v>78</v>
      </c>
      <c r="J1363" s="3">
        <v>0.15495867768595</v>
      </c>
      <c r="K1363" s="21">
        <v>1586.08</v>
      </c>
      <c r="L1363" s="21">
        <v>19826</v>
      </c>
      <c r="M1363" s="21">
        <v>80.6666666666667</v>
      </c>
      <c r="N1363" s="2" t="s">
        <v>79</v>
      </c>
    </row>
    <row r="1364" s="2" customFormat="1" spans="1:14">
      <c r="A1364" s="20">
        <v>45850</v>
      </c>
      <c r="B1364" s="2" t="s">
        <v>94</v>
      </c>
      <c r="C1364" s="2" t="s">
        <v>95</v>
      </c>
      <c r="D1364" s="2">
        <v>3</v>
      </c>
      <c r="E1364" s="2">
        <v>636</v>
      </c>
      <c r="F1364" s="2">
        <v>96</v>
      </c>
      <c r="G1364" s="2">
        <v>128594</v>
      </c>
      <c r="H1364" s="2">
        <v>7</v>
      </c>
      <c r="I1364" s="2" t="s">
        <v>78</v>
      </c>
      <c r="J1364" s="3">
        <v>0.150943396226415</v>
      </c>
      <c r="K1364" s="21">
        <v>1339.52083333333</v>
      </c>
      <c r="L1364" s="21">
        <v>18370.5714285714</v>
      </c>
      <c r="M1364" s="21">
        <v>90.8571428571429</v>
      </c>
      <c r="N1364" s="2" t="s">
        <v>80</v>
      </c>
    </row>
    <row r="1365" s="2" customFormat="1" spans="1:14">
      <c r="A1365" s="20">
        <v>45851</v>
      </c>
      <c r="B1365" s="2" t="s">
        <v>94</v>
      </c>
      <c r="C1365" s="2" t="s">
        <v>95</v>
      </c>
      <c r="D1365" s="2">
        <v>3</v>
      </c>
      <c r="E1365" s="2">
        <v>576</v>
      </c>
      <c r="F1365" s="2">
        <v>92</v>
      </c>
      <c r="G1365" s="2">
        <v>120902</v>
      </c>
      <c r="H1365" s="2">
        <v>4</v>
      </c>
      <c r="I1365" s="2" t="s">
        <v>81</v>
      </c>
      <c r="J1365" s="3">
        <v>0.159722222222222</v>
      </c>
      <c r="K1365" s="21">
        <v>1314.15217391304</v>
      </c>
      <c r="L1365" s="21">
        <v>30225.5</v>
      </c>
      <c r="M1365" s="21">
        <v>144</v>
      </c>
      <c r="N1365" s="2" t="s">
        <v>80</v>
      </c>
    </row>
    <row r="1366" s="2" customFormat="1" spans="1:14">
      <c r="A1366" s="20">
        <v>45852</v>
      </c>
      <c r="B1366" s="2" t="s">
        <v>94</v>
      </c>
      <c r="C1366" s="2" t="s">
        <v>95</v>
      </c>
      <c r="D1366" s="2">
        <v>3</v>
      </c>
      <c r="E1366" s="2">
        <v>548</v>
      </c>
      <c r="F1366" s="2">
        <v>86</v>
      </c>
      <c r="G1366" s="2">
        <v>94857</v>
      </c>
      <c r="H1366" s="2">
        <v>9</v>
      </c>
      <c r="I1366" s="2" t="s">
        <v>78</v>
      </c>
      <c r="J1366" s="3">
        <v>0.156934306569343</v>
      </c>
      <c r="K1366" s="21">
        <v>1102.98837209302</v>
      </c>
      <c r="L1366" s="21">
        <v>10539.6666666667</v>
      </c>
      <c r="M1366" s="21">
        <v>60.8888888888889</v>
      </c>
      <c r="N1366" s="2" t="s">
        <v>79</v>
      </c>
    </row>
    <row r="1367" s="2" customFormat="1" spans="1:14">
      <c r="A1367" s="20">
        <v>45853</v>
      </c>
      <c r="B1367" s="2" t="s">
        <v>94</v>
      </c>
      <c r="C1367" s="2" t="s">
        <v>95</v>
      </c>
      <c r="D1367" s="2">
        <v>3</v>
      </c>
      <c r="E1367" s="2">
        <v>511</v>
      </c>
      <c r="F1367" s="2">
        <v>76</v>
      </c>
      <c r="G1367" s="2">
        <v>91417</v>
      </c>
      <c r="H1367" s="2">
        <v>7</v>
      </c>
      <c r="I1367" s="2" t="s">
        <v>78</v>
      </c>
      <c r="J1367" s="3">
        <v>0.148727984344423</v>
      </c>
      <c r="K1367" s="21">
        <v>1202.8552631579</v>
      </c>
      <c r="L1367" s="21">
        <v>13059.5714285714</v>
      </c>
      <c r="M1367" s="21">
        <v>73</v>
      </c>
      <c r="N1367" s="2" t="s">
        <v>79</v>
      </c>
    </row>
    <row r="1368" s="2" customFormat="1" spans="1:14">
      <c r="A1368" s="20">
        <v>45854</v>
      </c>
      <c r="B1368" s="2" t="s">
        <v>94</v>
      </c>
      <c r="C1368" s="2" t="s">
        <v>95</v>
      </c>
      <c r="D1368" s="2">
        <v>3</v>
      </c>
      <c r="E1368" s="2">
        <v>431</v>
      </c>
      <c r="F1368" s="2">
        <v>69</v>
      </c>
      <c r="G1368" s="2">
        <v>99970</v>
      </c>
      <c r="H1368" s="2">
        <v>5</v>
      </c>
      <c r="I1368" s="2" t="s">
        <v>78</v>
      </c>
      <c r="J1368" s="3">
        <v>0.160092807424594</v>
      </c>
      <c r="K1368" s="21">
        <v>1448.84057971014</v>
      </c>
      <c r="L1368" s="21">
        <v>19994</v>
      </c>
      <c r="M1368" s="21">
        <v>86.2</v>
      </c>
      <c r="N1368" s="2" t="s">
        <v>79</v>
      </c>
    </row>
    <row r="1369" s="2" customFormat="1" spans="1:14">
      <c r="A1369" s="20">
        <v>45855</v>
      </c>
      <c r="B1369" s="2" t="s">
        <v>94</v>
      </c>
      <c r="C1369" s="2" t="s">
        <v>95</v>
      </c>
      <c r="D1369" s="2">
        <v>3</v>
      </c>
      <c r="E1369" s="2">
        <v>451</v>
      </c>
      <c r="F1369" s="2">
        <v>81</v>
      </c>
      <c r="G1369" s="2">
        <v>114711</v>
      </c>
      <c r="H1369" s="2">
        <v>9</v>
      </c>
      <c r="I1369" s="2" t="s">
        <v>78</v>
      </c>
      <c r="J1369" s="3">
        <v>0.17960088691796</v>
      </c>
      <c r="K1369" s="21">
        <v>1416.18518518518</v>
      </c>
      <c r="L1369" s="21">
        <v>12745.6666666667</v>
      </c>
      <c r="M1369" s="21">
        <v>50.1111111111111</v>
      </c>
      <c r="N1369" s="2" t="s">
        <v>79</v>
      </c>
    </row>
    <row r="1370" s="2" customFormat="1" spans="1:14">
      <c r="A1370" s="20">
        <v>45856</v>
      </c>
      <c r="B1370" s="2" t="s">
        <v>94</v>
      </c>
      <c r="C1370" s="2" t="s">
        <v>95</v>
      </c>
      <c r="D1370" s="2">
        <v>3</v>
      </c>
      <c r="E1370" s="2">
        <v>495</v>
      </c>
      <c r="F1370" s="2">
        <v>81</v>
      </c>
      <c r="G1370" s="2">
        <v>116882</v>
      </c>
      <c r="H1370" s="2">
        <v>6</v>
      </c>
      <c r="I1370" s="2" t="s">
        <v>78</v>
      </c>
      <c r="J1370" s="3">
        <v>0.163636363636364</v>
      </c>
      <c r="K1370" s="21">
        <v>1442.98765432099</v>
      </c>
      <c r="L1370" s="21">
        <v>19480.3333333333</v>
      </c>
      <c r="M1370" s="21">
        <v>82.5</v>
      </c>
      <c r="N1370" s="2" t="s">
        <v>79</v>
      </c>
    </row>
    <row r="1371" s="2" customFormat="1" spans="1:14">
      <c r="A1371" s="20">
        <v>45857</v>
      </c>
      <c r="B1371" s="2" t="s">
        <v>94</v>
      </c>
      <c r="C1371" s="2" t="s">
        <v>95</v>
      </c>
      <c r="D1371" s="2">
        <v>3</v>
      </c>
      <c r="E1371" s="2">
        <v>577</v>
      </c>
      <c r="F1371" s="2">
        <v>98</v>
      </c>
      <c r="G1371" s="2">
        <v>140926</v>
      </c>
      <c r="H1371" s="2">
        <v>9</v>
      </c>
      <c r="I1371" s="2" t="s">
        <v>78</v>
      </c>
      <c r="J1371" s="3">
        <v>0.169844020797227</v>
      </c>
      <c r="K1371" s="21">
        <v>1438.02040816327</v>
      </c>
      <c r="L1371" s="21">
        <v>15658.4444444445</v>
      </c>
      <c r="M1371" s="21">
        <v>64.1111111111111</v>
      </c>
      <c r="N1371" s="2" t="s">
        <v>80</v>
      </c>
    </row>
    <row r="1372" s="2" customFormat="1" spans="1:14">
      <c r="A1372" s="20">
        <v>45858</v>
      </c>
      <c r="B1372" s="2" t="s">
        <v>94</v>
      </c>
      <c r="C1372" s="2" t="s">
        <v>95</v>
      </c>
      <c r="D1372" s="2">
        <v>3</v>
      </c>
      <c r="E1372" s="2">
        <v>746</v>
      </c>
      <c r="F1372" s="2">
        <v>130</v>
      </c>
      <c r="G1372" s="2">
        <v>168837</v>
      </c>
      <c r="H1372" s="2">
        <v>7</v>
      </c>
      <c r="I1372" s="2" t="s">
        <v>78</v>
      </c>
      <c r="J1372" s="3">
        <v>0.17426273458445</v>
      </c>
      <c r="K1372" s="21">
        <v>1298.74615384615</v>
      </c>
      <c r="L1372" s="21">
        <v>24119.5714285714</v>
      </c>
      <c r="M1372" s="21">
        <v>106.571428571429</v>
      </c>
      <c r="N1372" s="2" t="s">
        <v>80</v>
      </c>
    </row>
    <row r="1373" s="2" customFormat="1" spans="1:14">
      <c r="A1373" s="20">
        <v>45859</v>
      </c>
      <c r="B1373" s="2" t="s">
        <v>94</v>
      </c>
      <c r="C1373" s="2" t="s">
        <v>95</v>
      </c>
      <c r="D1373" s="2">
        <v>3</v>
      </c>
      <c r="E1373" s="2">
        <v>493</v>
      </c>
      <c r="F1373" s="2">
        <v>68</v>
      </c>
      <c r="G1373" s="2">
        <v>88147</v>
      </c>
      <c r="H1373" s="2">
        <v>4</v>
      </c>
      <c r="I1373" s="2" t="s">
        <v>81</v>
      </c>
      <c r="J1373" s="3">
        <v>0.137931034482759</v>
      </c>
      <c r="K1373" s="21">
        <v>1296.27941176471</v>
      </c>
      <c r="L1373" s="21">
        <v>22036.75</v>
      </c>
      <c r="M1373" s="21">
        <v>123.25</v>
      </c>
      <c r="N1373" s="2" t="s">
        <v>79</v>
      </c>
    </row>
    <row r="1374" s="2" customFormat="1" spans="1:14">
      <c r="A1374" s="20">
        <v>45860</v>
      </c>
      <c r="B1374" s="2" t="s">
        <v>94</v>
      </c>
      <c r="C1374" s="2" t="s">
        <v>95</v>
      </c>
      <c r="D1374" s="2">
        <v>3</v>
      </c>
      <c r="E1374" s="2">
        <v>371</v>
      </c>
      <c r="F1374" s="2">
        <v>60</v>
      </c>
      <c r="G1374" s="2">
        <v>66591</v>
      </c>
      <c r="H1374" s="2">
        <v>7</v>
      </c>
      <c r="I1374" s="2" t="s">
        <v>78</v>
      </c>
      <c r="J1374" s="3">
        <v>0.161725067385445</v>
      </c>
      <c r="K1374" s="21">
        <v>1109.85</v>
      </c>
      <c r="L1374" s="21">
        <v>9513</v>
      </c>
      <c r="M1374" s="21">
        <v>53</v>
      </c>
      <c r="N1374" s="2" t="s">
        <v>79</v>
      </c>
    </row>
    <row r="1375" s="2" customFormat="1" spans="1:14">
      <c r="A1375" s="20">
        <v>45861</v>
      </c>
      <c r="B1375" s="2" t="s">
        <v>94</v>
      </c>
      <c r="C1375" s="2" t="s">
        <v>95</v>
      </c>
      <c r="D1375" s="2">
        <v>3</v>
      </c>
      <c r="E1375" s="2">
        <v>449</v>
      </c>
      <c r="F1375" s="2">
        <v>71</v>
      </c>
      <c r="G1375" s="2">
        <v>106494</v>
      </c>
      <c r="H1375" s="2">
        <v>5</v>
      </c>
      <c r="I1375" s="2" t="s">
        <v>81</v>
      </c>
      <c r="J1375" s="3">
        <v>0.158129175946548</v>
      </c>
      <c r="K1375" s="21">
        <v>1499.91549295775</v>
      </c>
      <c r="L1375" s="21">
        <v>21298.8</v>
      </c>
      <c r="M1375" s="21">
        <v>89.8</v>
      </c>
      <c r="N1375" s="2" t="s">
        <v>79</v>
      </c>
    </row>
    <row r="1376" s="2" customFormat="1" spans="1:14">
      <c r="A1376" s="20">
        <v>45862</v>
      </c>
      <c r="B1376" s="2" t="s">
        <v>94</v>
      </c>
      <c r="C1376" s="2" t="s">
        <v>95</v>
      </c>
      <c r="D1376" s="2">
        <v>3</v>
      </c>
      <c r="E1376" s="2">
        <v>378</v>
      </c>
      <c r="F1376" s="2">
        <v>57</v>
      </c>
      <c r="G1376" s="2">
        <v>84267</v>
      </c>
      <c r="H1376" s="2">
        <v>4</v>
      </c>
      <c r="I1376" s="2" t="s">
        <v>78</v>
      </c>
      <c r="J1376" s="3">
        <v>0.150793650793651</v>
      </c>
      <c r="K1376" s="21">
        <v>1478.36842105263</v>
      </c>
      <c r="L1376" s="21">
        <v>21066.75</v>
      </c>
      <c r="M1376" s="21">
        <v>94.5</v>
      </c>
      <c r="N1376" s="2" t="s">
        <v>79</v>
      </c>
    </row>
    <row r="1377" s="2" customFormat="1" spans="1:14">
      <c r="A1377" s="20">
        <v>45863</v>
      </c>
      <c r="B1377" s="2" t="s">
        <v>94</v>
      </c>
      <c r="C1377" s="2" t="s">
        <v>95</v>
      </c>
      <c r="D1377" s="2">
        <v>3</v>
      </c>
      <c r="E1377" s="2">
        <v>389</v>
      </c>
      <c r="F1377" s="2">
        <v>55</v>
      </c>
      <c r="G1377" s="2">
        <v>66485</v>
      </c>
      <c r="H1377" s="2">
        <v>5</v>
      </c>
      <c r="I1377" s="2" t="s">
        <v>78</v>
      </c>
      <c r="J1377" s="3">
        <v>0.141388174807198</v>
      </c>
      <c r="K1377" s="21">
        <v>1208.81818181818</v>
      </c>
      <c r="L1377" s="21">
        <v>13297</v>
      </c>
      <c r="M1377" s="21">
        <v>77.8</v>
      </c>
      <c r="N1377" s="2" t="s">
        <v>79</v>
      </c>
    </row>
    <row r="1378" s="2" customFormat="1" spans="1:14">
      <c r="A1378" s="20">
        <v>45864</v>
      </c>
      <c r="B1378" s="2" t="s">
        <v>94</v>
      </c>
      <c r="C1378" s="2" t="s">
        <v>95</v>
      </c>
      <c r="D1378" s="2">
        <v>3</v>
      </c>
      <c r="E1378" s="2">
        <v>557</v>
      </c>
      <c r="F1378" s="2">
        <v>94</v>
      </c>
      <c r="G1378" s="2">
        <v>154024</v>
      </c>
      <c r="H1378" s="2">
        <v>8</v>
      </c>
      <c r="I1378" s="2" t="s">
        <v>78</v>
      </c>
      <c r="J1378" s="3">
        <v>0.168761220825853</v>
      </c>
      <c r="K1378" s="21">
        <v>1638.55319148936</v>
      </c>
      <c r="L1378" s="21">
        <v>19253</v>
      </c>
      <c r="M1378" s="21">
        <v>69.625</v>
      </c>
      <c r="N1378" s="2" t="s">
        <v>80</v>
      </c>
    </row>
    <row r="1379" s="2" customFormat="1" spans="1:14">
      <c r="A1379" s="20">
        <v>45865</v>
      </c>
      <c r="B1379" s="2" t="s">
        <v>94</v>
      </c>
      <c r="C1379" s="2" t="s">
        <v>95</v>
      </c>
      <c r="D1379" s="2">
        <v>3</v>
      </c>
      <c r="E1379" s="2">
        <v>627</v>
      </c>
      <c r="F1379" s="2">
        <v>103</v>
      </c>
      <c r="G1379" s="2">
        <v>168604</v>
      </c>
      <c r="H1379" s="2">
        <v>5</v>
      </c>
      <c r="I1379" s="2" t="s">
        <v>78</v>
      </c>
      <c r="J1379" s="3">
        <v>0.164274322169059</v>
      </c>
      <c r="K1379" s="21">
        <v>1636.93203883495</v>
      </c>
      <c r="L1379" s="21">
        <v>33720.8</v>
      </c>
      <c r="M1379" s="21">
        <v>125.4</v>
      </c>
      <c r="N1379" s="2" t="s">
        <v>80</v>
      </c>
    </row>
    <row r="1380" s="2" customFormat="1" spans="1:14">
      <c r="A1380" s="20">
        <v>45866</v>
      </c>
      <c r="B1380" s="2" t="s">
        <v>94</v>
      </c>
      <c r="C1380" s="2" t="s">
        <v>95</v>
      </c>
      <c r="D1380" s="2">
        <v>3</v>
      </c>
      <c r="E1380" s="2">
        <v>502</v>
      </c>
      <c r="F1380" s="2">
        <v>75</v>
      </c>
      <c r="G1380" s="2">
        <v>124728</v>
      </c>
      <c r="H1380" s="2">
        <v>5</v>
      </c>
      <c r="I1380" s="2" t="s">
        <v>78</v>
      </c>
      <c r="J1380" s="3">
        <v>0.149402390438247</v>
      </c>
      <c r="K1380" s="21">
        <v>1663.04</v>
      </c>
      <c r="L1380" s="21">
        <v>24945.6</v>
      </c>
      <c r="M1380" s="21">
        <v>100.4</v>
      </c>
      <c r="N1380" s="2" t="s">
        <v>79</v>
      </c>
    </row>
    <row r="1381" s="2" customFormat="1" spans="1:14">
      <c r="A1381" s="20">
        <v>45867</v>
      </c>
      <c r="B1381" s="2" t="s">
        <v>94</v>
      </c>
      <c r="C1381" s="2" t="s">
        <v>95</v>
      </c>
      <c r="D1381" s="2">
        <v>3</v>
      </c>
      <c r="E1381" s="2">
        <v>581</v>
      </c>
      <c r="F1381" s="2">
        <v>81</v>
      </c>
      <c r="G1381" s="2">
        <v>99199</v>
      </c>
      <c r="H1381" s="2">
        <v>5</v>
      </c>
      <c r="I1381" s="2" t="s">
        <v>78</v>
      </c>
      <c r="J1381" s="3">
        <v>0.139414802065404</v>
      </c>
      <c r="K1381" s="21">
        <v>1224.67901234568</v>
      </c>
      <c r="L1381" s="21">
        <v>19839.8</v>
      </c>
      <c r="M1381" s="21">
        <v>116.2</v>
      </c>
      <c r="N1381" s="2" t="s">
        <v>79</v>
      </c>
    </row>
    <row r="1382" s="2" customFormat="1" spans="1:14">
      <c r="A1382" s="20">
        <v>45868</v>
      </c>
      <c r="B1382" s="2" t="s">
        <v>94</v>
      </c>
      <c r="C1382" s="2" t="s">
        <v>95</v>
      </c>
      <c r="D1382" s="2">
        <v>3</v>
      </c>
      <c r="E1382" s="2">
        <v>390</v>
      </c>
      <c r="F1382" s="2">
        <v>62</v>
      </c>
      <c r="G1382" s="2">
        <v>87957</v>
      </c>
      <c r="H1382" s="2">
        <v>9</v>
      </c>
      <c r="I1382" s="2" t="s">
        <v>81</v>
      </c>
      <c r="J1382" s="3">
        <v>0.158974358974359</v>
      </c>
      <c r="K1382" s="21">
        <v>1418.66129032258</v>
      </c>
      <c r="L1382" s="21">
        <v>9773</v>
      </c>
      <c r="M1382" s="21">
        <v>43.3333333333333</v>
      </c>
      <c r="N1382" s="2" t="s">
        <v>79</v>
      </c>
    </row>
    <row r="1383" s="2" customFormat="1" spans="1:14">
      <c r="A1383" s="20">
        <v>45869</v>
      </c>
      <c r="B1383" s="2" t="s">
        <v>94</v>
      </c>
      <c r="C1383" s="2" t="s">
        <v>95</v>
      </c>
      <c r="D1383" s="2">
        <v>3</v>
      </c>
      <c r="E1383" s="2">
        <v>484</v>
      </c>
      <c r="F1383" s="2">
        <v>72</v>
      </c>
      <c r="G1383" s="2">
        <v>80478</v>
      </c>
      <c r="H1383" s="2">
        <v>7</v>
      </c>
      <c r="I1383" s="2" t="s">
        <v>78</v>
      </c>
      <c r="J1383" s="3">
        <v>0.148760330578512</v>
      </c>
      <c r="K1383" s="21">
        <v>1117.75</v>
      </c>
      <c r="L1383" s="21">
        <v>11496.8571428571</v>
      </c>
      <c r="M1383" s="21">
        <v>69.1428571428571</v>
      </c>
      <c r="N1383" s="2" t="s">
        <v>79</v>
      </c>
    </row>
    <row r="1384" s="2" customFormat="1" spans="1:14">
      <c r="A1384" s="20">
        <v>45870</v>
      </c>
      <c r="B1384" s="2" t="s">
        <v>94</v>
      </c>
      <c r="C1384" s="2" t="s">
        <v>95</v>
      </c>
      <c r="D1384" s="2">
        <v>3</v>
      </c>
      <c r="E1384" s="2">
        <v>353</v>
      </c>
      <c r="F1384" s="2">
        <v>56</v>
      </c>
      <c r="G1384" s="2">
        <v>90669</v>
      </c>
      <c r="H1384" s="2">
        <v>7</v>
      </c>
      <c r="I1384" s="2" t="s">
        <v>81</v>
      </c>
      <c r="J1384" s="3">
        <v>0.158640226628895</v>
      </c>
      <c r="K1384" s="21">
        <v>1619.08928571429</v>
      </c>
      <c r="L1384" s="21">
        <v>12952.7142857143</v>
      </c>
      <c r="M1384" s="21">
        <v>50.4285714285714</v>
      </c>
      <c r="N1384" s="2" t="s">
        <v>79</v>
      </c>
    </row>
    <row r="1385" s="2" customFormat="1" spans="1:14">
      <c r="A1385" s="20">
        <v>45871</v>
      </c>
      <c r="B1385" s="2" t="s">
        <v>94</v>
      </c>
      <c r="C1385" s="2" t="s">
        <v>95</v>
      </c>
      <c r="D1385" s="2">
        <v>3</v>
      </c>
      <c r="E1385" s="2">
        <v>609</v>
      </c>
      <c r="F1385" s="2">
        <v>86</v>
      </c>
      <c r="G1385" s="2">
        <v>125949</v>
      </c>
      <c r="H1385" s="2">
        <v>5</v>
      </c>
      <c r="I1385" s="2" t="s">
        <v>78</v>
      </c>
      <c r="J1385" s="3">
        <v>0.141215106732348</v>
      </c>
      <c r="K1385" s="21">
        <v>1464.52325581395</v>
      </c>
      <c r="L1385" s="21">
        <v>25189.8</v>
      </c>
      <c r="M1385" s="21">
        <v>121.8</v>
      </c>
      <c r="N1385" s="2" t="s">
        <v>80</v>
      </c>
    </row>
    <row r="1386" s="2" customFormat="1" spans="1:14">
      <c r="A1386" s="20">
        <v>45872</v>
      </c>
      <c r="B1386" s="2" t="s">
        <v>94</v>
      </c>
      <c r="C1386" s="2" t="s">
        <v>95</v>
      </c>
      <c r="D1386" s="2">
        <v>3</v>
      </c>
      <c r="E1386" s="2">
        <v>775</v>
      </c>
      <c r="F1386" s="2">
        <v>125</v>
      </c>
      <c r="G1386" s="2">
        <v>177614</v>
      </c>
      <c r="H1386" s="2">
        <v>6</v>
      </c>
      <c r="I1386" s="2" t="s">
        <v>78</v>
      </c>
      <c r="J1386" s="3">
        <v>0.161290322580645</v>
      </c>
      <c r="K1386" s="21">
        <v>1420.912</v>
      </c>
      <c r="L1386" s="21">
        <v>29602.3333333333</v>
      </c>
      <c r="M1386" s="21">
        <v>129.166666666667</v>
      </c>
      <c r="N1386" s="2" t="s">
        <v>80</v>
      </c>
    </row>
    <row r="1387" s="2" customFormat="1" spans="1:14">
      <c r="A1387" s="20">
        <v>45873</v>
      </c>
      <c r="B1387" s="2" t="s">
        <v>94</v>
      </c>
      <c r="C1387" s="2" t="s">
        <v>95</v>
      </c>
      <c r="D1387" s="2">
        <v>3</v>
      </c>
      <c r="E1387" s="2">
        <v>502</v>
      </c>
      <c r="F1387" s="2">
        <v>85</v>
      </c>
      <c r="G1387" s="2">
        <v>133060</v>
      </c>
      <c r="H1387" s="2">
        <v>7</v>
      </c>
      <c r="I1387" s="2" t="s">
        <v>78</v>
      </c>
      <c r="J1387" s="3">
        <v>0.169322709163347</v>
      </c>
      <c r="K1387" s="21">
        <v>1565.41176470588</v>
      </c>
      <c r="L1387" s="21">
        <v>19008.5714285714</v>
      </c>
      <c r="M1387" s="21">
        <v>71.7142857142857</v>
      </c>
      <c r="N1387" s="2" t="s">
        <v>79</v>
      </c>
    </row>
    <row r="1388" s="2" customFormat="1" spans="1:14">
      <c r="A1388" s="20">
        <v>45874</v>
      </c>
      <c r="B1388" s="2" t="s">
        <v>94</v>
      </c>
      <c r="C1388" s="2" t="s">
        <v>95</v>
      </c>
      <c r="D1388" s="2">
        <v>3</v>
      </c>
      <c r="E1388" s="2">
        <v>367</v>
      </c>
      <c r="F1388" s="2">
        <v>56</v>
      </c>
      <c r="G1388" s="2">
        <v>76058</v>
      </c>
      <c r="H1388" s="2">
        <v>7</v>
      </c>
      <c r="I1388" s="2" t="s">
        <v>78</v>
      </c>
      <c r="J1388" s="3">
        <v>0.152588555858311</v>
      </c>
      <c r="K1388" s="21">
        <v>1358.17857142857</v>
      </c>
      <c r="L1388" s="21">
        <v>10865.4285714286</v>
      </c>
      <c r="M1388" s="21">
        <v>52.4285714285714</v>
      </c>
      <c r="N1388" s="2" t="s">
        <v>79</v>
      </c>
    </row>
    <row r="1389" s="2" customFormat="1" spans="1:14">
      <c r="A1389" s="20">
        <v>45875</v>
      </c>
      <c r="B1389" s="2" t="s">
        <v>94</v>
      </c>
      <c r="C1389" s="2" t="s">
        <v>95</v>
      </c>
      <c r="D1389" s="2">
        <v>3</v>
      </c>
      <c r="E1389" s="2">
        <v>351</v>
      </c>
      <c r="F1389" s="2">
        <v>52</v>
      </c>
      <c r="G1389" s="2">
        <v>78941</v>
      </c>
      <c r="H1389" s="2">
        <v>4</v>
      </c>
      <c r="I1389" s="2" t="s">
        <v>78</v>
      </c>
      <c r="J1389" s="3">
        <v>0.148148148148148</v>
      </c>
      <c r="K1389" s="21">
        <v>1518.09615384615</v>
      </c>
      <c r="L1389" s="21">
        <v>19735.25</v>
      </c>
      <c r="M1389" s="21">
        <v>87.75</v>
      </c>
      <c r="N1389" s="2" t="s">
        <v>79</v>
      </c>
    </row>
    <row r="1390" s="2" customFormat="1" spans="1:14">
      <c r="A1390" s="20">
        <v>45876</v>
      </c>
      <c r="B1390" s="2" t="s">
        <v>94</v>
      </c>
      <c r="C1390" s="2" t="s">
        <v>95</v>
      </c>
      <c r="D1390" s="2">
        <v>3</v>
      </c>
      <c r="E1390" s="2">
        <v>356</v>
      </c>
      <c r="F1390" s="2">
        <v>60</v>
      </c>
      <c r="G1390" s="2">
        <v>68925</v>
      </c>
      <c r="H1390" s="2">
        <v>6</v>
      </c>
      <c r="I1390" s="2" t="s">
        <v>78</v>
      </c>
      <c r="J1390" s="3">
        <v>0.168539325842697</v>
      </c>
      <c r="K1390" s="21">
        <v>1148.75</v>
      </c>
      <c r="L1390" s="21">
        <v>11487.5</v>
      </c>
      <c r="M1390" s="21">
        <v>59.3333333333333</v>
      </c>
      <c r="N1390" s="2" t="s">
        <v>79</v>
      </c>
    </row>
    <row r="1391" s="2" customFormat="1" spans="1:14">
      <c r="A1391" s="20">
        <v>45877</v>
      </c>
      <c r="B1391" s="2" t="s">
        <v>94</v>
      </c>
      <c r="C1391" s="2" t="s">
        <v>95</v>
      </c>
      <c r="D1391" s="2">
        <v>3</v>
      </c>
      <c r="E1391" s="2">
        <v>405</v>
      </c>
      <c r="F1391" s="2">
        <v>64</v>
      </c>
      <c r="G1391" s="2">
        <v>93272</v>
      </c>
      <c r="H1391" s="2">
        <v>8</v>
      </c>
      <c r="I1391" s="2" t="s">
        <v>78</v>
      </c>
      <c r="J1391" s="3">
        <v>0.158024691358025</v>
      </c>
      <c r="K1391" s="21">
        <v>1457.375</v>
      </c>
      <c r="L1391" s="21">
        <v>11659</v>
      </c>
      <c r="M1391" s="21">
        <v>50.625</v>
      </c>
      <c r="N1391" s="2" t="s">
        <v>79</v>
      </c>
    </row>
    <row r="1392" s="2" customFormat="1" spans="1:14">
      <c r="A1392" s="20">
        <v>45878</v>
      </c>
      <c r="B1392" s="2" t="s">
        <v>94</v>
      </c>
      <c r="C1392" s="2" t="s">
        <v>95</v>
      </c>
      <c r="D1392" s="2">
        <v>3</v>
      </c>
      <c r="E1392" s="2">
        <v>823</v>
      </c>
      <c r="F1392" s="2">
        <v>120</v>
      </c>
      <c r="G1392" s="2">
        <v>165736</v>
      </c>
      <c r="H1392" s="2">
        <v>8</v>
      </c>
      <c r="I1392" s="2" t="s">
        <v>81</v>
      </c>
      <c r="J1392" s="3">
        <v>0.145808019441069</v>
      </c>
      <c r="K1392" s="21">
        <v>1381.13333333333</v>
      </c>
      <c r="L1392" s="21">
        <v>20717</v>
      </c>
      <c r="M1392" s="21">
        <v>102.875</v>
      </c>
      <c r="N1392" s="2" t="s">
        <v>80</v>
      </c>
    </row>
    <row r="1393" s="2" customFormat="1" spans="1:14">
      <c r="A1393" s="20">
        <v>45879</v>
      </c>
      <c r="B1393" s="2" t="s">
        <v>94</v>
      </c>
      <c r="C1393" s="2" t="s">
        <v>95</v>
      </c>
      <c r="D1393" s="2">
        <v>3</v>
      </c>
      <c r="E1393" s="2">
        <v>593</v>
      </c>
      <c r="F1393" s="2">
        <v>93</v>
      </c>
      <c r="G1393" s="2">
        <v>129141</v>
      </c>
      <c r="H1393" s="2">
        <v>4</v>
      </c>
      <c r="I1393" s="2" t="s">
        <v>78</v>
      </c>
      <c r="J1393" s="3">
        <v>0.156829679595278</v>
      </c>
      <c r="K1393" s="21">
        <v>1388.61290322581</v>
      </c>
      <c r="L1393" s="21">
        <v>32285.25</v>
      </c>
      <c r="M1393" s="21">
        <v>148.25</v>
      </c>
      <c r="N1393" s="2" t="s">
        <v>80</v>
      </c>
    </row>
    <row r="1394" s="2" customFormat="1" spans="1:14">
      <c r="A1394" s="20">
        <v>45880</v>
      </c>
      <c r="B1394" s="2" t="s">
        <v>94</v>
      </c>
      <c r="C1394" s="2" t="s">
        <v>95</v>
      </c>
      <c r="D1394" s="2">
        <v>3</v>
      </c>
      <c r="E1394" s="2">
        <v>409</v>
      </c>
      <c r="F1394" s="2">
        <v>67</v>
      </c>
      <c r="G1394" s="2">
        <v>77564</v>
      </c>
      <c r="H1394" s="2">
        <v>6</v>
      </c>
      <c r="I1394" s="2" t="s">
        <v>78</v>
      </c>
      <c r="J1394" s="3">
        <v>0.163814180929095</v>
      </c>
      <c r="K1394" s="21">
        <v>1157.67164179104</v>
      </c>
      <c r="L1394" s="21">
        <v>12927.3333333333</v>
      </c>
      <c r="M1394" s="21">
        <v>68.1666666666667</v>
      </c>
      <c r="N1394" s="2" t="s">
        <v>79</v>
      </c>
    </row>
    <row r="1395" s="2" customFormat="1" spans="1:14">
      <c r="A1395" s="20">
        <v>45881</v>
      </c>
      <c r="B1395" s="2" t="s">
        <v>94</v>
      </c>
      <c r="C1395" s="2" t="s">
        <v>95</v>
      </c>
      <c r="D1395" s="2">
        <v>3</v>
      </c>
      <c r="E1395" s="2">
        <v>517</v>
      </c>
      <c r="F1395" s="2">
        <v>84</v>
      </c>
      <c r="G1395" s="2">
        <v>106545</v>
      </c>
      <c r="H1395" s="2">
        <v>8</v>
      </c>
      <c r="I1395" s="2" t="s">
        <v>78</v>
      </c>
      <c r="J1395" s="3">
        <v>0.16247582205029</v>
      </c>
      <c r="K1395" s="21">
        <v>1268.39285714286</v>
      </c>
      <c r="L1395" s="21">
        <v>13318.125</v>
      </c>
      <c r="M1395" s="21">
        <v>64.625</v>
      </c>
      <c r="N1395" s="2" t="s">
        <v>79</v>
      </c>
    </row>
    <row r="1396" s="2" customFormat="1" spans="1:14">
      <c r="A1396" s="20">
        <v>45882</v>
      </c>
      <c r="B1396" s="2" t="s">
        <v>94</v>
      </c>
      <c r="C1396" s="2" t="s">
        <v>95</v>
      </c>
      <c r="D1396" s="2">
        <v>3</v>
      </c>
      <c r="E1396" s="2">
        <v>464</v>
      </c>
      <c r="F1396" s="2">
        <v>76</v>
      </c>
      <c r="G1396" s="2">
        <v>118257</v>
      </c>
      <c r="H1396" s="2">
        <v>6</v>
      </c>
      <c r="I1396" s="2" t="s">
        <v>78</v>
      </c>
      <c r="J1396" s="3">
        <v>0.163793103448276</v>
      </c>
      <c r="K1396" s="21">
        <v>1556.01315789474</v>
      </c>
      <c r="L1396" s="21">
        <v>19709.5</v>
      </c>
      <c r="M1396" s="21">
        <v>77.3333333333333</v>
      </c>
      <c r="N1396" s="2" t="s">
        <v>79</v>
      </c>
    </row>
    <row r="1397" s="2" customFormat="1" spans="1:14">
      <c r="A1397" s="20">
        <v>45883</v>
      </c>
      <c r="B1397" s="2" t="s">
        <v>94</v>
      </c>
      <c r="C1397" s="2" t="s">
        <v>95</v>
      </c>
      <c r="D1397" s="2">
        <v>3</v>
      </c>
      <c r="E1397" s="2">
        <v>478</v>
      </c>
      <c r="F1397" s="2">
        <v>80</v>
      </c>
      <c r="G1397" s="2">
        <v>94882</v>
      </c>
      <c r="H1397" s="2">
        <v>6</v>
      </c>
      <c r="I1397" s="2" t="s">
        <v>78</v>
      </c>
      <c r="J1397" s="3">
        <v>0.167364016736402</v>
      </c>
      <c r="K1397" s="21">
        <v>1186.025</v>
      </c>
      <c r="L1397" s="21">
        <v>15813.6666666667</v>
      </c>
      <c r="M1397" s="21">
        <v>79.6666666666667</v>
      </c>
      <c r="N1397" s="2" t="s">
        <v>79</v>
      </c>
    </row>
    <row r="1398" s="2" customFormat="1" spans="1:14">
      <c r="A1398" s="20">
        <v>45884</v>
      </c>
      <c r="B1398" s="2" t="s">
        <v>94</v>
      </c>
      <c r="C1398" s="2" t="s">
        <v>95</v>
      </c>
      <c r="D1398" s="2">
        <v>3</v>
      </c>
      <c r="E1398" s="2">
        <v>417</v>
      </c>
      <c r="F1398" s="2">
        <v>71</v>
      </c>
      <c r="G1398" s="2">
        <v>118436</v>
      </c>
      <c r="H1398" s="2">
        <v>7</v>
      </c>
      <c r="I1398" s="2" t="s">
        <v>78</v>
      </c>
      <c r="J1398" s="3">
        <v>0.170263788968825</v>
      </c>
      <c r="K1398" s="21">
        <v>1668.11267605634</v>
      </c>
      <c r="L1398" s="21">
        <v>16919.4285714286</v>
      </c>
      <c r="M1398" s="21">
        <v>59.5714285714286</v>
      </c>
      <c r="N1398" s="2" t="s">
        <v>79</v>
      </c>
    </row>
    <row r="1399" s="2" customFormat="1" spans="1:14">
      <c r="A1399" s="20">
        <v>45885</v>
      </c>
      <c r="B1399" s="2" t="s">
        <v>94</v>
      </c>
      <c r="C1399" s="2" t="s">
        <v>95</v>
      </c>
      <c r="D1399" s="2">
        <v>3</v>
      </c>
      <c r="E1399" s="2">
        <v>740</v>
      </c>
      <c r="F1399" s="2">
        <v>121</v>
      </c>
      <c r="G1399" s="2">
        <v>180035</v>
      </c>
      <c r="H1399" s="2">
        <v>8</v>
      </c>
      <c r="I1399" s="2" t="s">
        <v>81</v>
      </c>
      <c r="J1399" s="3">
        <v>0.163513513513514</v>
      </c>
      <c r="K1399" s="21">
        <v>1487.89256198347</v>
      </c>
      <c r="L1399" s="21">
        <v>22504.375</v>
      </c>
      <c r="M1399" s="21">
        <v>92.5</v>
      </c>
      <c r="N1399" s="2" t="s">
        <v>80</v>
      </c>
    </row>
    <row r="1400" s="2" customFormat="1" spans="1:14">
      <c r="A1400" s="20">
        <v>45886</v>
      </c>
      <c r="B1400" s="2" t="s">
        <v>94</v>
      </c>
      <c r="C1400" s="2" t="s">
        <v>95</v>
      </c>
      <c r="D1400" s="2">
        <v>3</v>
      </c>
      <c r="E1400" s="2">
        <v>574</v>
      </c>
      <c r="F1400" s="2">
        <v>94</v>
      </c>
      <c r="G1400" s="2">
        <v>112654</v>
      </c>
      <c r="H1400" s="2">
        <v>5</v>
      </c>
      <c r="I1400" s="2" t="s">
        <v>78</v>
      </c>
      <c r="J1400" s="3">
        <v>0.163763066202091</v>
      </c>
      <c r="K1400" s="21">
        <v>1198.44680851064</v>
      </c>
      <c r="L1400" s="21">
        <v>22530.8</v>
      </c>
      <c r="M1400" s="21">
        <v>114.8</v>
      </c>
      <c r="N1400" s="2" t="s">
        <v>80</v>
      </c>
    </row>
    <row r="1401" s="2" customFormat="1" spans="1:14">
      <c r="A1401" s="20">
        <v>45887</v>
      </c>
      <c r="B1401" s="2" t="s">
        <v>94</v>
      </c>
      <c r="C1401" s="2" t="s">
        <v>95</v>
      </c>
      <c r="D1401" s="2">
        <v>3</v>
      </c>
      <c r="E1401" s="2">
        <v>451</v>
      </c>
      <c r="F1401" s="2">
        <v>76</v>
      </c>
      <c r="G1401" s="2">
        <v>107969</v>
      </c>
      <c r="H1401" s="2">
        <v>6</v>
      </c>
      <c r="I1401" s="2" t="s">
        <v>78</v>
      </c>
      <c r="J1401" s="3">
        <v>0.168514412416851</v>
      </c>
      <c r="K1401" s="21">
        <v>1420.6447368421</v>
      </c>
      <c r="L1401" s="21">
        <v>17994.8333333333</v>
      </c>
      <c r="M1401" s="21">
        <v>75.1666666666667</v>
      </c>
      <c r="N1401" s="2" t="s">
        <v>79</v>
      </c>
    </row>
    <row r="1402" s="2" customFormat="1" spans="1:14">
      <c r="A1402" s="20">
        <v>45888</v>
      </c>
      <c r="B1402" s="2" t="s">
        <v>94</v>
      </c>
      <c r="C1402" s="2" t="s">
        <v>95</v>
      </c>
      <c r="D1402" s="2">
        <v>3</v>
      </c>
      <c r="E1402" s="2">
        <v>436</v>
      </c>
      <c r="F1402" s="2">
        <v>76</v>
      </c>
      <c r="G1402" s="2">
        <v>92120</v>
      </c>
      <c r="H1402" s="2">
        <v>7</v>
      </c>
      <c r="I1402" s="2" t="s">
        <v>78</v>
      </c>
      <c r="J1402" s="3">
        <v>0.174311926605505</v>
      </c>
      <c r="K1402" s="21">
        <v>1212.1052631579</v>
      </c>
      <c r="L1402" s="21">
        <v>13160</v>
      </c>
      <c r="M1402" s="21">
        <v>62.2857142857143</v>
      </c>
      <c r="N1402" s="2" t="s">
        <v>79</v>
      </c>
    </row>
    <row r="1403" s="2" customFormat="1" spans="1:14">
      <c r="A1403" s="20">
        <v>45889</v>
      </c>
      <c r="B1403" s="2" t="s">
        <v>94</v>
      </c>
      <c r="C1403" s="2" t="s">
        <v>95</v>
      </c>
      <c r="D1403" s="2">
        <v>3</v>
      </c>
      <c r="E1403" s="2">
        <v>429</v>
      </c>
      <c r="F1403" s="2">
        <v>66</v>
      </c>
      <c r="G1403" s="2">
        <v>94888</v>
      </c>
      <c r="H1403" s="2">
        <v>7</v>
      </c>
      <c r="I1403" s="2" t="s">
        <v>78</v>
      </c>
      <c r="J1403" s="3">
        <v>0.153846153846154</v>
      </c>
      <c r="K1403" s="21">
        <v>1437.69696969697</v>
      </c>
      <c r="L1403" s="21">
        <v>13555.4285714286</v>
      </c>
      <c r="M1403" s="21">
        <v>61.2857142857143</v>
      </c>
      <c r="N1403" s="2" t="s">
        <v>79</v>
      </c>
    </row>
    <row r="1404" s="2" customFormat="1" spans="1:14">
      <c r="A1404" s="20">
        <v>45890</v>
      </c>
      <c r="B1404" s="2" t="s">
        <v>94</v>
      </c>
      <c r="C1404" s="2" t="s">
        <v>95</v>
      </c>
      <c r="D1404" s="2">
        <v>3</v>
      </c>
      <c r="E1404" s="2">
        <v>384</v>
      </c>
      <c r="F1404" s="2">
        <v>61</v>
      </c>
      <c r="G1404" s="2">
        <v>97319</v>
      </c>
      <c r="H1404" s="2">
        <v>5</v>
      </c>
      <c r="I1404" s="2" t="s">
        <v>78</v>
      </c>
      <c r="J1404" s="3">
        <v>0.158854166666667</v>
      </c>
      <c r="K1404" s="21">
        <v>1595.39344262295</v>
      </c>
      <c r="L1404" s="21">
        <v>19463.8</v>
      </c>
      <c r="M1404" s="21">
        <v>76.8</v>
      </c>
      <c r="N1404" s="2" t="s">
        <v>79</v>
      </c>
    </row>
    <row r="1405" s="2" customFormat="1" spans="1:14">
      <c r="A1405" s="20">
        <v>45891</v>
      </c>
      <c r="B1405" s="2" t="s">
        <v>94</v>
      </c>
      <c r="C1405" s="2" t="s">
        <v>95</v>
      </c>
      <c r="D1405" s="2">
        <v>3</v>
      </c>
      <c r="E1405" s="2">
        <v>472</v>
      </c>
      <c r="F1405" s="2">
        <v>72</v>
      </c>
      <c r="G1405" s="2">
        <v>108864</v>
      </c>
      <c r="H1405" s="2">
        <v>7</v>
      </c>
      <c r="I1405" s="2" t="s">
        <v>78</v>
      </c>
      <c r="J1405" s="3">
        <v>0.152542372881356</v>
      </c>
      <c r="K1405" s="21">
        <v>1512</v>
      </c>
      <c r="L1405" s="21">
        <v>15552</v>
      </c>
      <c r="M1405" s="21">
        <v>67.4285714285714</v>
      </c>
      <c r="N1405" s="2" t="s">
        <v>79</v>
      </c>
    </row>
    <row r="1406" s="2" customFormat="1" spans="1:14">
      <c r="A1406" s="20">
        <v>45892</v>
      </c>
      <c r="B1406" s="2" t="s">
        <v>94</v>
      </c>
      <c r="C1406" s="2" t="s">
        <v>95</v>
      </c>
      <c r="D1406" s="2">
        <v>3</v>
      </c>
      <c r="E1406" s="2">
        <v>756</v>
      </c>
      <c r="F1406" s="2">
        <v>110</v>
      </c>
      <c r="G1406" s="2">
        <v>186934</v>
      </c>
      <c r="H1406" s="2">
        <v>4</v>
      </c>
      <c r="I1406" s="2" t="s">
        <v>78</v>
      </c>
      <c r="J1406" s="3">
        <v>0.145502645502645</v>
      </c>
      <c r="K1406" s="21">
        <v>1699.4</v>
      </c>
      <c r="L1406" s="21">
        <v>46733.5</v>
      </c>
      <c r="M1406" s="21">
        <v>189</v>
      </c>
      <c r="N1406" s="2" t="s">
        <v>80</v>
      </c>
    </row>
    <row r="1407" s="2" customFormat="1" spans="1:14">
      <c r="A1407" s="20">
        <v>45893</v>
      </c>
      <c r="B1407" s="2" t="s">
        <v>94</v>
      </c>
      <c r="C1407" s="2" t="s">
        <v>95</v>
      </c>
      <c r="D1407" s="2">
        <v>3</v>
      </c>
      <c r="E1407" s="2">
        <v>608</v>
      </c>
      <c r="F1407" s="2">
        <v>93</v>
      </c>
      <c r="G1407" s="2">
        <v>143078</v>
      </c>
      <c r="H1407" s="2">
        <v>5</v>
      </c>
      <c r="I1407" s="2" t="s">
        <v>81</v>
      </c>
      <c r="J1407" s="3">
        <v>0.152960526315789</v>
      </c>
      <c r="K1407" s="21">
        <v>1538.47311827957</v>
      </c>
      <c r="L1407" s="21">
        <v>28615.6</v>
      </c>
      <c r="M1407" s="21">
        <v>121.6</v>
      </c>
      <c r="N1407" s="2" t="s">
        <v>80</v>
      </c>
    </row>
    <row r="1408" s="2" customFormat="1" spans="1:14">
      <c r="A1408" s="20">
        <v>45894</v>
      </c>
      <c r="B1408" s="2" t="s">
        <v>94</v>
      </c>
      <c r="C1408" s="2" t="s">
        <v>95</v>
      </c>
      <c r="D1408" s="2">
        <v>3</v>
      </c>
      <c r="E1408" s="2">
        <v>491</v>
      </c>
      <c r="F1408" s="2">
        <v>73</v>
      </c>
      <c r="G1408" s="2">
        <v>110377</v>
      </c>
      <c r="H1408" s="2">
        <v>5</v>
      </c>
      <c r="I1408" s="2" t="s">
        <v>78</v>
      </c>
      <c r="J1408" s="3">
        <v>0.14867617107943</v>
      </c>
      <c r="K1408" s="21">
        <v>1512.01369863014</v>
      </c>
      <c r="L1408" s="21">
        <v>22075.4</v>
      </c>
      <c r="M1408" s="21">
        <v>98.2</v>
      </c>
      <c r="N1408" s="2" t="s">
        <v>79</v>
      </c>
    </row>
    <row r="1409" s="2" customFormat="1" spans="1:14">
      <c r="A1409" s="20">
        <v>45895</v>
      </c>
      <c r="B1409" s="2" t="s">
        <v>94</v>
      </c>
      <c r="C1409" s="2" t="s">
        <v>95</v>
      </c>
      <c r="D1409" s="2">
        <v>3</v>
      </c>
      <c r="E1409" s="2">
        <v>521</v>
      </c>
      <c r="F1409" s="2">
        <v>77</v>
      </c>
      <c r="G1409" s="2">
        <v>121773</v>
      </c>
      <c r="H1409" s="2">
        <v>4</v>
      </c>
      <c r="I1409" s="2" t="s">
        <v>81</v>
      </c>
      <c r="J1409" s="3">
        <v>0.147792706333973</v>
      </c>
      <c r="K1409" s="21">
        <v>1581.46753246753</v>
      </c>
      <c r="L1409" s="21">
        <v>30443.25</v>
      </c>
      <c r="M1409" s="21">
        <v>130.25</v>
      </c>
      <c r="N1409" s="2" t="s">
        <v>79</v>
      </c>
    </row>
    <row r="1410" s="2" customFormat="1" spans="1:14">
      <c r="A1410" s="20">
        <v>45896</v>
      </c>
      <c r="B1410" s="2" t="s">
        <v>94</v>
      </c>
      <c r="C1410" s="2" t="s">
        <v>95</v>
      </c>
      <c r="D1410" s="2">
        <v>3</v>
      </c>
      <c r="E1410" s="2">
        <v>489</v>
      </c>
      <c r="F1410" s="2">
        <v>84</v>
      </c>
      <c r="G1410" s="2">
        <v>141616</v>
      </c>
      <c r="H1410" s="2">
        <v>8</v>
      </c>
      <c r="I1410" s="2" t="s">
        <v>78</v>
      </c>
      <c r="J1410" s="3">
        <v>0.171779141104295</v>
      </c>
      <c r="K1410" s="21">
        <v>1685.90476190476</v>
      </c>
      <c r="L1410" s="21">
        <v>17702</v>
      </c>
      <c r="M1410" s="21">
        <v>61.125</v>
      </c>
      <c r="N1410" s="2" t="s">
        <v>79</v>
      </c>
    </row>
    <row r="1411" s="2" customFormat="1" spans="1:14">
      <c r="A1411" s="20">
        <v>45897</v>
      </c>
      <c r="B1411" s="2" t="s">
        <v>94</v>
      </c>
      <c r="C1411" s="2" t="s">
        <v>95</v>
      </c>
      <c r="D1411" s="2">
        <v>3</v>
      </c>
      <c r="E1411" s="2">
        <v>450</v>
      </c>
      <c r="F1411" s="2">
        <v>74</v>
      </c>
      <c r="G1411" s="2">
        <v>123993</v>
      </c>
      <c r="H1411" s="2">
        <v>6</v>
      </c>
      <c r="I1411" s="2" t="s">
        <v>78</v>
      </c>
      <c r="J1411" s="3">
        <v>0.164444444444444</v>
      </c>
      <c r="K1411" s="21">
        <v>1675.58108108108</v>
      </c>
      <c r="L1411" s="21">
        <v>20665.5</v>
      </c>
      <c r="M1411" s="21">
        <v>75</v>
      </c>
      <c r="N1411" s="2" t="s">
        <v>79</v>
      </c>
    </row>
    <row r="1412" s="2" customFormat="1" spans="1:14">
      <c r="A1412" s="20">
        <v>45898</v>
      </c>
      <c r="B1412" s="2" t="s">
        <v>94</v>
      </c>
      <c r="C1412" s="2" t="s">
        <v>95</v>
      </c>
      <c r="D1412" s="2">
        <v>3</v>
      </c>
      <c r="E1412" s="2">
        <v>485</v>
      </c>
      <c r="F1412" s="2">
        <v>68</v>
      </c>
      <c r="G1412" s="2">
        <v>100987</v>
      </c>
      <c r="H1412" s="2">
        <v>4</v>
      </c>
      <c r="I1412" s="2" t="s">
        <v>78</v>
      </c>
      <c r="J1412" s="3">
        <v>0.14020618556701</v>
      </c>
      <c r="K1412" s="21">
        <v>1485.10294117647</v>
      </c>
      <c r="L1412" s="21">
        <v>25246.75</v>
      </c>
      <c r="M1412" s="21">
        <v>121.25</v>
      </c>
      <c r="N1412" s="2" t="s">
        <v>79</v>
      </c>
    </row>
    <row r="1413" s="2" customFormat="1" spans="1:14">
      <c r="A1413" s="20">
        <v>45899</v>
      </c>
      <c r="B1413" s="2" t="s">
        <v>94</v>
      </c>
      <c r="C1413" s="2" t="s">
        <v>95</v>
      </c>
      <c r="D1413" s="2">
        <v>3</v>
      </c>
      <c r="E1413" s="2">
        <v>712</v>
      </c>
      <c r="F1413" s="2">
        <v>96</v>
      </c>
      <c r="G1413" s="2">
        <v>130105</v>
      </c>
      <c r="H1413" s="2">
        <v>4</v>
      </c>
      <c r="I1413" s="2" t="s">
        <v>78</v>
      </c>
      <c r="J1413" s="3">
        <v>0.134831460674157</v>
      </c>
      <c r="K1413" s="21">
        <v>1355.26041666667</v>
      </c>
      <c r="L1413" s="21">
        <v>32526.25</v>
      </c>
      <c r="M1413" s="21">
        <v>178</v>
      </c>
      <c r="N1413" s="2" t="s">
        <v>80</v>
      </c>
    </row>
    <row r="1414" s="2" customFormat="1" spans="1:14">
      <c r="A1414" s="20">
        <v>45900</v>
      </c>
      <c r="B1414" s="2" t="s">
        <v>94</v>
      </c>
      <c r="C1414" s="2" t="s">
        <v>95</v>
      </c>
      <c r="D1414" s="2">
        <v>3</v>
      </c>
      <c r="E1414" s="2">
        <v>693</v>
      </c>
      <c r="F1414" s="2">
        <v>110</v>
      </c>
      <c r="G1414" s="2">
        <v>182620</v>
      </c>
      <c r="H1414" s="2">
        <v>5</v>
      </c>
      <c r="I1414" s="2" t="s">
        <v>78</v>
      </c>
      <c r="J1414" s="3">
        <v>0.158730158730159</v>
      </c>
      <c r="K1414" s="21">
        <v>1660.18181818182</v>
      </c>
      <c r="L1414" s="21">
        <v>36524</v>
      </c>
      <c r="M1414" s="21">
        <v>138.6</v>
      </c>
      <c r="N1414" s="2" t="s">
        <v>80</v>
      </c>
    </row>
    <row r="1415" s="2" customFormat="1" spans="1:14">
      <c r="A1415" s="20">
        <v>45901</v>
      </c>
      <c r="B1415" s="2" t="s">
        <v>94</v>
      </c>
      <c r="C1415" s="2" t="s">
        <v>95</v>
      </c>
      <c r="D1415" s="2">
        <v>3</v>
      </c>
      <c r="E1415" s="2">
        <v>445</v>
      </c>
      <c r="F1415" s="2">
        <v>68</v>
      </c>
      <c r="G1415" s="2">
        <v>86406</v>
      </c>
      <c r="H1415" s="2">
        <v>9</v>
      </c>
      <c r="I1415" s="2" t="s">
        <v>81</v>
      </c>
      <c r="J1415" s="3">
        <v>0.152808988764045</v>
      </c>
      <c r="K1415" s="21">
        <v>1270.67647058823</v>
      </c>
      <c r="L1415" s="21">
        <v>9600.66666666667</v>
      </c>
      <c r="M1415" s="21">
        <v>49.4444444444444</v>
      </c>
      <c r="N1415" s="2" t="s">
        <v>79</v>
      </c>
    </row>
    <row r="1416" s="2" customFormat="1" spans="1:14">
      <c r="A1416" s="20">
        <v>45902</v>
      </c>
      <c r="B1416" s="2" t="s">
        <v>94</v>
      </c>
      <c r="C1416" s="2" t="s">
        <v>95</v>
      </c>
      <c r="D1416" s="2">
        <v>3</v>
      </c>
      <c r="E1416" s="2">
        <v>441</v>
      </c>
      <c r="F1416" s="2">
        <v>78</v>
      </c>
      <c r="G1416" s="2">
        <v>87602</v>
      </c>
      <c r="H1416" s="2">
        <v>9</v>
      </c>
      <c r="I1416" s="2" t="s">
        <v>78</v>
      </c>
      <c r="J1416" s="3">
        <v>0.17687074829932</v>
      </c>
      <c r="K1416" s="21">
        <v>1123.10256410256</v>
      </c>
      <c r="L1416" s="21">
        <v>9733.55555555555</v>
      </c>
      <c r="M1416" s="21">
        <v>49</v>
      </c>
      <c r="N1416" s="2" t="s">
        <v>79</v>
      </c>
    </row>
    <row r="1417" s="2" customFormat="1" spans="1:14">
      <c r="A1417" s="20">
        <v>45903</v>
      </c>
      <c r="B1417" s="2" t="s">
        <v>94</v>
      </c>
      <c r="C1417" s="2" t="s">
        <v>95</v>
      </c>
      <c r="D1417" s="2">
        <v>3</v>
      </c>
      <c r="E1417" s="2">
        <v>503</v>
      </c>
      <c r="F1417" s="2">
        <v>79</v>
      </c>
      <c r="G1417" s="2">
        <v>131953</v>
      </c>
      <c r="H1417" s="2">
        <v>5</v>
      </c>
      <c r="I1417" s="2" t="s">
        <v>81</v>
      </c>
      <c r="J1417" s="3">
        <v>0.157057654075547</v>
      </c>
      <c r="K1417" s="21">
        <v>1670.29113924051</v>
      </c>
      <c r="L1417" s="21">
        <v>26390.6</v>
      </c>
      <c r="M1417" s="21">
        <v>100.6</v>
      </c>
      <c r="N1417" s="2" t="s">
        <v>79</v>
      </c>
    </row>
    <row r="1418" s="2" customFormat="1" spans="1:14">
      <c r="A1418" s="20">
        <v>45904</v>
      </c>
      <c r="B1418" s="2" t="s">
        <v>94</v>
      </c>
      <c r="C1418" s="2" t="s">
        <v>95</v>
      </c>
      <c r="D1418" s="2">
        <v>3</v>
      </c>
      <c r="E1418" s="2">
        <v>398</v>
      </c>
      <c r="F1418" s="2">
        <v>58</v>
      </c>
      <c r="G1418" s="2">
        <v>81566</v>
      </c>
      <c r="H1418" s="2">
        <v>4</v>
      </c>
      <c r="I1418" s="2" t="s">
        <v>78</v>
      </c>
      <c r="J1418" s="3">
        <v>0.14572864321608</v>
      </c>
      <c r="K1418" s="21">
        <v>1406.31034482759</v>
      </c>
      <c r="L1418" s="21">
        <v>20391.5</v>
      </c>
      <c r="M1418" s="21">
        <v>99.5</v>
      </c>
      <c r="N1418" s="2" t="s">
        <v>79</v>
      </c>
    </row>
    <row r="1419" s="2" customFormat="1" spans="1:14">
      <c r="A1419" s="20">
        <v>45905</v>
      </c>
      <c r="B1419" s="2" t="s">
        <v>94</v>
      </c>
      <c r="C1419" s="2" t="s">
        <v>95</v>
      </c>
      <c r="D1419" s="2">
        <v>3</v>
      </c>
      <c r="E1419" s="2">
        <v>441</v>
      </c>
      <c r="F1419" s="2">
        <v>74</v>
      </c>
      <c r="G1419" s="2">
        <v>122608</v>
      </c>
      <c r="H1419" s="2">
        <v>9</v>
      </c>
      <c r="I1419" s="2" t="s">
        <v>78</v>
      </c>
      <c r="J1419" s="3">
        <v>0.167800453514739</v>
      </c>
      <c r="K1419" s="21">
        <v>1656.86486486487</v>
      </c>
      <c r="L1419" s="21">
        <v>13623.1111111111</v>
      </c>
      <c r="M1419" s="21">
        <v>49</v>
      </c>
      <c r="N1419" s="2" t="s">
        <v>79</v>
      </c>
    </row>
    <row r="1420" s="2" customFormat="1" spans="1:14">
      <c r="A1420" s="20">
        <v>45906</v>
      </c>
      <c r="B1420" s="2" t="s">
        <v>94</v>
      </c>
      <c r="C1420" s="2" t="s">
        <v>95</v>
      </c>
      <c r="D1420" s="2">
        <v>3</v>
      </c>
      <c r="E1420" s="2">
        <v>644</v>
      </c>
      <c r="F1420" s="2">
        <v>108</v>
      </c>
      <c r="G1420" s="2">
        <v>152220</v>
      </c>
      <c r="H1420" s="2">
        <v>7</v>
      </c>
      <c r="I1420" s="2" t="s">
        <v>78</v>
      </c>
      <c r="J1420" s="3">
        <v>0.167701863354037</v>
      </c>
      <c r="K1420" s="21">
        <v>1409.44444444444</v>
      </c>
      <c r="L1420" s="21">
        <v>21745.7142857143</v>
      </c>
      <c r="M1420" s="21">
        <v>92</v>
      </c>
      <c r="N1420" s="2" t="s">
        <v>80</v>
      </c>
    </row>
    <row r="1421" s="2" customFormat="1" spans="1:14">
      <c r="A1421" s="20">
        <v>45907</v>
      </c>
      <c r="B1421" s="2" t="s">
        <v>94</v>
      </c>
      <c r="C1421" s="2" t="s">
        <v>95</v>
      </c>
      <c r="D1421" s="2">
        <v>3</v>
      </c>
      <c r="E1421" s="2">
        <v>597</v>
      </c>
      <c r="F1421" s="2">
        <v>98</v>
      </c>
      <c r="G1421" s="2">
        <v>124560</v>
      </c>
      <c r="H1421" s="2">
        <v>8</v>
      </c>
      <c r="I1421" s="2" t="s">
        <v>81</v>
      </c>
      <c r="J1421" s="3">
        <v>0.164154103852596</v>
      </c>
      <c r="K1421" s="21">
        <v>1271.02040816327</v>
      </c>
      <c r="L1421" s="21">
        <v>15570</v>
      </c>
      <c r="M1421" s="21">
        <v>74.625</v>
      </c>
      <c r="N1421" s="2" t="s">
        <v>80</v>
      </c>
    </row>
    <row r="1422" s="2" customFormat="1" spans="1:14">
      <c r="A1422" s="20">
        <v>45908</v>
      </c>
      <c r="B1422" s="2" t="s">
        <v>94</v>
      </c>
      <c r="C1422" s="2" t="s">
        <v>95</v>
      </c>
      <c r="D1422" s="2">
        <v>3</v>
      </c>
      <c r="E1422" s="2">
        <v>520</v>
      </c>
      <c r="F1422" s="2">
        <v>84</v>
      </c>
      <c r="G1422" s="2">
        <v>135176</v>
      </c>
      <c r="H1422" s="2">
        <v>7</v>
      </c>
      <c r="I1422" s="2" t="s">
        <v>78</v>
      </c>
      <c r="J1422" s="3">
        <v>0.161538461538461</v>
      </c>
      <c r="K1422" s="21">
        <v>1609.23809523809</v>
      </c>
      <c r="L1422" s="21">
        <v>19310.8571428571</v>
      </c>
      <c r="M1422" s="21">
        <v>74.2857142857143</v>
      </c>
      <c r="N1422" s="2" t="s">
        <v>79</v>
      </c>
    </row>
    <row r="1423" s="2" customFormat="1" spans="1:14">
      <c r="A1423" s="20">
        <v>45909</v>
      </c>
      <c r="B1423" s="2" t="s">
        <v>94</v>
      </c>
      <c r="C1423" s="2" t="s">
        <v>95</v>
      </c>
      <c r="D1423" s="2">
        <v>3</v>
      </c>
      <c r="E1423" s="2">
        <v>495</v>
      </c>
      <c r="F1423" s="2">
        <v>70</v>
      </c>
      <c r="G1423" s="2">
        <v>92558</v>
      </c>
      <c r="H1423" s="2">
        <v>6</v>
      </c>
      <c r="I1423" s="2" t="s">
        <v>78</v>
      </c>
      <c r="J1423" s="3">
        <v>0.141414141414141</v>
      </c>
      <c r="K1423" s="21">
        <v>1322.25714285714</v>
      </c>
      <c r="L1423" s="21">
        <v>15426.3333333333</v>
      </c>
      <c r="M1423" s="21">
        <v>82.5</v>
      </c>
      <c r="N1423" s="2" t="s">
        <v>79</v>
      </c>
    </row>
    <row r="1424" s="2" customFormat="1" spans="1:14">
      <c r="A1424" s="20">
        <v>45910</v>
      </c>
      <c r="B1424" s="2" t="s">
        <v>94</v>
      </c>
      <c r="C1424" s="2" t="s">
        <v>95</v>
      </c>
      <c r="D1424" s="2">
        <v>3</v>
      </c>
      <c r="E1424" s="2">
        <v>338</v>
      </c>
      <c r="F1424" s="2">
        <v>50</v>
      </c>
      <c r="G1424" s="2">
        <v>63017</v>
      </c>
      <c r="H1424" s="2">
        <v>4</v>
      </c>
      <c r="I1424" s="2" t="s">
        <v>78</v>
      </c>
      <c r="J1424" s="3">
        <v>0.14792899408284</v>
      </c>
      <c r="K1424" s="21">
        <v>1260.34</v>
      </c>
      <c r="L1424" s="21">
        <v>15754.25</v>
      </c>
      <c r="M1424" s="21">
        <v>84.5</v>
      </c>
      <c r="N1424" s="2" t="s">
        <v>79</v>
      </c>
    </row>
    <row r="1425" s="2" customFormat="1" spans="1:14">
      <c r="A1425" s="20">
        <v>45911</v>
      </c>
      <c r="B1425" s="2" t="s">
        <v>94</v>
      </c>
      <c r="C1425" s="2" t="s">
        <v>95</v>
      </c>
      <c r="D1425" s="2">
        <v>3</v>
      </c>
      <c r="E1425" s="2">
        <v>509</v>
      </c>
      <c r="F1425" s="2">
        <v>72</v>
      </c>
      <c r="G1425" s="2">
        <v>98485</v>
      </c>
      <c r="H1425" s="2">
        <v>6</v>
      </c>
      <c r="I1425" s="2" t="s">
        <v>78</v>
      </c>
      <c r="J1425" s="3">
        <v>0.141453831041257</v>
      </c>
      <c r="K1425" s="21">
        <v>1367.84722222222</v>
      </c>
      <c r="L1425" s="21">
        <v>16414.1666666667</v>
      </c>
      <c r="M1425" s="21">
        <v>84.8333333333333</v>
      </c>
      <c r="N1425" s="2" t="s">
        <v>79</v>
      </c>
    </row>
    <row r="1426" s="2" customFormat="1" spans="1:14">
      <c r="A1426" s="20">
        <v>45912</v>
      </c>
      <c r="B1426" s="2" t="s">
        <v>94</v>
      </c>
      <c r="C1426" s="2" t="s">
        <v>95</v>
      </c>
      <c r="D1426" s="2">
        <v>3</v>
      </c>
      <c r="E1426" s="2">
        <v>372</v>
      </c>
      <c r="F1426" s="2">
        <v>67</v>
      </c>
      <c r="G1426" s="2">
        <v>82610</v>
      </c>
      <c r="H1426" s="2">
        <v>9</v>
      </c>
      <c r="I1426" s="2" t="s">
        <v>78</v>
      </c>
      <c r="J1426" s="3">
        <v>0.18010752688172</v>
      </c>
      <c r="K1426" s="21">
        <v>1232.98507462687</v>
      </c>
      <c r="L1426" s="21">
        <v>9178.88888888889</v>
      </c>
      <c r="M1426" s="21">
        <v>41.3333333333333</v>
      </c>
      <c r="N1426" s="2" t="s">
        <v>79</v>
      </c>
    </row>
    <row r="1427" s="2" customFormat="1" spans="1:14">
      <c r="A1427" s="20">
        <v>45913</v>
      </c>
      <c r="B1427" s="2" t="s">
        <v>94</v>
      </c>
      <c r="C1427" s="2" t="s">
        <v>95</v>
      </c>
      <c r="D1427" s="2">
        <v>3</v>
      </c>
      <c r="E1427" s="2">
        <v>646</v>
      </c>
      <c r="F1427" s="2">
        <v>103</v>
      </c>
      <c r="G1427" s="2">
        <v>152289</v>
      </c>
      <c r="H1427" s="2">
        <v>9</v>
      </c>
      <c r="I1427" s="2" t="s">
        <v>78</v>
      </c>
      <c r="J1427" s="3">
        <v>0.159442724458204</v>
      </c>
      <c r="K1427" s="21">
        <v>1478.53398058252</v>
      </c>
      <c r="L1427" s="21">
        <v>16921</v>
      </c>
      <c r="M1427" s="21">
        <v>71.7777777777778</v>
      </c>
      <c r="N1427" s="2" t="s">
        <v>80</v>
      </c>
    </row>
    <row r="1428" s="2" customFormat="1" spans="1:14">
      <c r="A1428" s="20">
        <v>45914</v>
      </c>
      <c r="B1428" s="2" t="s">
        <v>94</v>
      </c>
      <c r="C1428" s="2" t="s">
        <v>95</v>
      </c>
      <c r="D1428" s="2">
        <v>3</v>
      </c>
      <c r="E1428" s="2">
        <v>747</v>
      </c>
      <c r="F1428" s="2">
        <v>121</v>
      </c>
      <c r="G1428" s="2">
        <v>179250</v>
      </c>
      <c r="H1428" s="2">
        <v>9</v>
      </c>
      <c r="I1428" s="2" t="s">
        <v>78</v>
      </c>
      <c r="J1428" s="3">
        <v>0.1619812583668</v>
      </c>
      <c r="K1428" s="21">
        <v>1481.40495867769</v>
      </c>
      <c r="L1428" s="21">
        <v>19916.6666666667</v>
      </c>
      <c r="M1428" s="21">
        <v>83</v>
      </c>
      <c r="N1428" s="2" t="s">
        <v>80</v>
      </c>
    </row>
    <row r="1429" s="2" customFormat="1" spans="1:14">
      <c r="A1429" s="20">
        <v>45915</v>
      </c>
      <c r="B1429" s="2" t="s">
        <v>94</v>
      </c>
      <c r="C1429" s="2" t="s">
        <v>95</v>
      </c>
      <c r="D1429" s="2">
        <v>3</v>
      </c>
      <c r="E1429" s="2">
        <v>407</v>
      </c>
      <c r="F1429" s="2">
        <v>70</v>
      </c>
      <c r="G1429" s="2">
        <v>83106</v>
      </c>
      <c r="H1429" s="2">
        <v>9</v>
      </c>
      <c r="I1429" s="2" t="s">
        <v>78</v>
      </c>
      <c r="J1429" s="3">
        <v>0.171990171990172</v>
      </c>
      <c r="K1429" s="21">
        <v>1187.22857142857</v>
      </c>
      <c r="L1429" s="21">
        <v>9234</v>
      </c>
      <c r="M1429" s="21">
        <v>45.2222222222222</v>
      </c>
      <c r="N1429" s="2" t="s">
        <v>79</v>
      </c>
    </row>
    <row r="1430" s="2" customFormat="1" spans="1:14">
      <c r="A1430" s="20">
        <v>45916</v>
      </c>
      <c r="B1430" s="2" t="s">
        <v>94</v>
      </c>
      <c r="C1430" s="2" t="s">
        <v>95</v>
      </c>
      <c r="D1430" s="2">
        <v>3</v>
      </c>
      <c r="E1430" s="2">
        <v>397</v>
      </c>
      <c r="F1430" s="2">
        <v>67</v>
      </c>
      <c r="G1430" s="2">
        <v>103200</v>
      </c>
      <c r="H1430" s="2">
        <v>6</v>
      </c>
      <c r="I1430" s="2" t="s">
        <v>78</v>
      </c>
      <c r="J1430" s="3">
        <v>0.168765743073048</v>
      </c>
      <c r="K1430" s="21">
        <v>1540.29850746269</v>
      </c>
      <c r="L1430" s="21">
        <v>17200</v>
      </c>
      <c r="M1430" s="21">
        <v>66.1666666666667</v>
      </c>
      <c r="N1430" s="2" t="s">
        <v>79</v>
      </c>
    </row>
    <row r="1431" s="2" customFormat="1" spans="1:14">
      <c r="A1431" s="20">
        <v>45917</v>
      </c>
      <c r="B1431" s="2" t="s">
        <v>94</v>
      </c>
      <c r="C1431" s="2" t="s">
        <v>95</v>
      </c>
      <c r="D1431" s="2">
        <v>3</v>
      </c>
      <c r="E1431" s="2">
        <v>474</v>
      </c>
      <c r="F1431" s="2">
        <v>77</v>
      </c>
      <c r="G1431" s="2">
        <v>101765</v>
      </c>
      <c r="H1431" s="2">
        <v>6</v>
      </c>
      <c r="I1431" s="2" t="s">
        <v>78</v>
      </c>
      <c r="J1431" s="3">
        <v>0.162447257383966</v>
      </c>
      <c r="K1431" s="21">
        <v>1321.62337662338</v>
      </c>
      <c r="L1431" s="21">
        <v>16960.8333333333</v>
      </c>
      <c r="M1431" s="21">
        <v>79</v>
      </c>
      <c r="N1431" s="2" t="s">
        <v>79</v>
      </c>
    </row>
    <row r="1432" s="2" customFormat="1" spans="1:14">
      <c r="A1432" s="20">
        <v>45918</v>
      </c>
      <c r="B1432" s="2" t="s">
        <v>94</v>
      </c>
      <c r="C1432" s="2" t="s">
        <v>95</v>
      </c>
      <c r="D1432" s="2">
        <v>3</v>
      </c>
      <c r="E1432" s="2">
        <v>498</v>
      </c>
      <c r="F1432" s="2">
        <v>69</v>
      </c>
      <c r="G1432" s="2">
        <v>111495</v>
      </c>
      <c r="H1432" s="2">
        <v>4</v>
      </c>
      <c r="I1432" s="2" t="s">
        <v>78</v>
      </c>
      <c r="J1432" s="3">
        <v>0.13855421686747</v>
      </c>
      <c r="K1432" s="21">
        <v>1615.86956521739</v>
      </c>
      <c r="L1432" s="21">
        <v>27873.75</v>
      </c>
      <c r="M1432" s="21">
        <v>124.5</v>
      </c>
      <c r="N1432" s="2" t="s">
        <v>79</v>
      </c>
    </row>
    <row r="1433" s="2" customFormat="1" spans="1:14">
      <c r="A1433" s="20">
        <v>45919</v>
      </c>
      <c r="B1433" s="2" t="s">
        <v>94</v>
      </c>
      <c r="C1433" s="2" t="s">
        <v>95</v>
      </c>
      <c r="D1433" s="2">
        <v>3</v>
      </c>
      <c r="E1433" s="2">
        <v>414</v>
      </c>
      <c r="F1433" s="2">
        <v>61</v>
      </c>
      <c r="G1433" s="2">
        <v>99381</v>
      </c>
      <c r="H1433" s="2">
        <v>6</v>
      </c>
      <c r="I1433" s="2" t="s">
        <v>81</v>
      </c>
      <c r="J1433" s="3">
        <v>0.147342995169082</v>
      </c>
      <c r="K1433" s="21">
        <v>1629.19672131147</v>
      </c>
      <c r="L1433" s="21">
        <v>16563.5</v>
      </c>
      <c r="M1433" s="21">
        <v>69</v>
      </c>
      <c r="N1433" s="2" t="s">
        <v>79</v>
      </c>
    </row>
    <row r="1434" s="2" customFormat="1" spans="1:14">
      <c r="A1434" s="20">
        <v>45920</v>
      </c>
      <c r="B1434" s="2" t="s">
        <v>94</v>
      </c>
      <c r="C1434" s="2" t="s">
        <v>95</v>
      </c>
      <c r="D1434" s="2">
        <v>3</v>
      </c>
      <c r="E1434" s="2">
        <v>578</v>
      </c>
      <c r="F1434" s="2">
        <v>94</v>
      </c>
      <c r="G1434" s="2">
        <v>110668</v>
      </c>
      <c r="H1434" s="2">
        <v>4</v>
      </c>
      <c r="I1434" s="2" t="s">
        <v>78</v>
      </c>
      <c r="J1434" s="3">
        <v>0.162629757785467</v>
      </c>
      <c r="K1434" s="21">
        <v>1177.31914893617</v>
      </c>
      <c r="L1434" s="21">
        <v>27667</v>
      </c>
      <c r="M1434" s="21">
        <v>144.5</v>
      </c>
      <c r="N1434" s="2" t="s">
        <v>80</v>
      </c>
    </row>
    <row r="1435" s="2" customFormat="1" spans="1:14">
      <c r="A1435" s="20">
        <v>45921</v>
      </c>
      <c r="B1435" s="2" t="s">
        <v>94</v>
      </c>
      <c r="C1435" s="2" t="s">
        <v>95</v>
      </c>
      <c r="D1435" s="2">
        <v>3</v>
      </c>
      <c r="E1435" s="2">
        <v>656</v>
      </c>
      <c r="F1435" s="2">
        <v>101</v>
      </c>
      <c r="G1435" s="2">
        <v>133066</v>
      </c>
      <c r="H1435" s="2">
        <v>8</v>
      </c>
      <c r="I1435" s="2" t="s">
        <v>78</v>
      </c>
      <c r="J1435" s="3">
        <v>0.153963414634146</v>
      </c>
      <c r="K1435" s="21">
        <v>1317.48514851485</v>
      </c>
      <c r="L1435" s="21">
        <v>16633.25</v>
      </c>
      <c r="M1435" s="21">
        <v>82</v>
      </c>
      <c r="N1435" s="2" t="s">
        <v>80</v>
      </c>
    </row>
    <row r="1436" s="2" customFormat="1" spans="1:14">
      <c r="A1436" s="20">
        <v>45922</v>
      </c>
      <c r="B1436" s="2" t="s">
        <v>94</v>
      </c>
      <c r="C1436" s="2" t="s">
        <v>95</v>
      </c>
      <c r="D1436" s="2">
        <v>3</v>
      </c>
      <c r="E1436" s="2">
        <v>367</v>
      </c>
      <c r="F1436" s="2">
        <v>53</v>
      </c>
      <c r="G1436" s="2">
        <v>83251</v>
      </c>
      <c r="H1436" s="2">
        <v>5</v>
      </c>
      <c r="I1436" s="2" t="s">
        <v>78</v>
      </c>
      <c r="J1436" s="3">
        <v>0.14441416893733</v>
      </c>
      <c r="K1436" s="21">
        <v>1570.77358490566</v>
      </c>
      <c r="L1436" s="21">
        <v>16650.2</v>
      </c>
      <c r="M1436" s="21">
        <v>73.4</v>
      </c>
      <c r="N1436" s="2" t="s">
        <v>79</v>
      </c>
    </row>
    <row r="1437" s="2" customFormat="1" spans="1:14">
      <c r="A1437" s="20">
        <v>45923</v>
      </c>
      <c r="B1437" s="2" t="s">
        <v>94</v>
      </c>
      <c r="C1437" s="2" t="s">
        <v>95</v>
      </c>
      <c r="D1437" s="2">
        <v>3</v>
      </c>
      <c r="E1437" s="2">
        <v>383</v>
      </c>
      <c r="F1437" s="2">
        <v>54</v>
      </c>
      <c r="G1437" s="2">
        <v>78023</v>
      </c>
      <c r="H1437" s="2">
        <v>4</v>
      </c>
      <c r="I1437" s="2" t="s">
        <v>78</v>
      </c>
      <c r="J1437" s="3">
        <v>0.140992167101828</v>
      </c>
      <c r="K1437" s="21">
        <v>1444.87037037037</v>
      </c>
      <c r="L1437" s="21">
        <v>19505.75</v>
      </c>
      <c r="M1437" s="21">
        <v>95.75</v>
      </c>
      <c r="N1437" s="2" t="s">
        <v>79</v>
      </c>
    </row>
    <row r="1438" s="2" customFormat="1" spans="1:14">
      <c r="A1438" s="20">
        <v>45924</v>
      </c>
      <c r="B1438" s="2" t="s">
        <v>94</v>
      </c>
      <c r="C1438" s="2" t="s">
        <v>95</v>
      </c>
      <c r="D1438" s="2">
        <v>3</v>
      </c>
      <c r="E1438" s="2">
        <v>368</v>
      </c>
      <c r="F1438" s="2">
        <v>59</v>
      </c>
      <c r="G1438" s="2">
        <v>84395</v>
      </c>
      <c r="H1438" s="2">
        <v>9</v>
      </c>
      <c r="I1438" s="2" t="s">
        <v>78</v>
      </c>
      <c r="J1438" s="3">
        <v>0.160326086956522</v>
      </c>
      <c r="K1438" s="21">
        <v>1430.42372881356</v>
      </c>
      <c r="L1438" s="21">
        <v>9377.22222222222</v>
      </c>
      <c r="M1438" s="21">
        <v>40.8888888888889</v>
      </c>
      <c r="N1438" s="2" t="s">
        <v>79</v>
      </c>
    </row>
    <row r="1439" s="2" customFormat="1" spans="1:14">
      <c r="A1439" s="20">
        <v>45925</v>
      </c>
      <c r="B1439" s="2" t="s">
        <v>94</v>
      </c>
      <c r="C1439" s="2" t="s">
        <v>95</v>
      </c>
      <c r="D1439" s="2">
        <v>3</v>
      </c>
      <c r="E1439" s="2">
        <v>372</v>
      </c>
      <c r="F1439" s="2">
        <v>63</v>
      </c>
      <c r="G1439" s="2">
        <v>81304</v>
      </c>
      <c r="H1439" s="2">
        <v>9</v>
      </c>
      <c r="I1439" s="2" t="s">
        <v>78</v>
      </c>
      <c r="J1439" s="3">
        <v>0.169354838709677</v>
      </c>
      <c r="K1439" s="21">
        <v>1290.53968253968</v>
      </c>
      <c r="L1439" s="21">
        <v>9033.77777777778</v>
      </c>
      <c r="M1439" s="21">
        <v>41.3333333333333</v>
      </c>
      <c r="N1439" s="2" t="s">
        <v>79</v>
      </c>
    </row>
    <row r="1440" s="2" customFormat="1" spans="1:14">
      <c r="A1440" s="20">
        <v>45926</v>
      </c>
      <c r="B1440" s="2" t="s">
        <v>94</v>
      </c>
      <c r="C1440" s="2" t="s">
        <v>95</v>
      </c>
      <c r="D1440" s="2">
        <v>3</v>
      </c>
      <c r="E1440" s="2">
        <v>422</v>
      </c>
      <c r="F1440" s="2">
        <v>69</v>
      </c>
      <c r="G1440" s="2">
        <v>91213</v>
      </c>
      <c r="H1440" s="2">
        <v>6</v>
      </c>
      <c r="I1440" s="2" t="s">
        <v>78</v>
      </c>
      <c r="J1440" s="3">
        <v>0.163507109004739</v>
      </c>
      <c r="K1440" s="21">
        <v>1321.92753623188</v>
      </c>
      <c r="L1440" s="21">
        <v>15202.1666666667</v>
      </c>
      <c r="M1440" s="21">
        <v>70.3333333333333</v>
      </c>
      <c r="N1440" s="2" t="s">
        <v>79</v>
      </c>
    </row>
    <row r="1441" s="2" customFormat="1" spans="1:14">
      <c r="A1441" s="20">
        <v>45927</v>
      </c>
      <c r="B1441" s="2" t="s">
        <v>94</v>
      </c>
      <c r="C1441" s="2" t="s">
        <v>95</v>
      </c>
      <c r="D1441" s="2">
        <v>3</v>
      </c>
      <c r="E1441" s="2">
        <v>671</v>
      </c>
      <c r="F1441" s="2">
        <v>102</v>
      </c>
      <c r="G1441" s="2">
        <v>152722</v>
      </c>
      <c r="H1441" s="2">
        <v>6</v>
      </c>
      <c r="I1441" s="2" t="s">
        <v>78</v>
      </c>
      <c r="J1441" s="3">
        <v>0.152011922503726</v>
      </c>
      <c r="K1441" s="21">
        <v>1497.27450980392</v>
      </c>
      <c r="L1441" s="21">
        <v>25453.6666666667</v>
      </c>
      <c r="M1441" s="21">
        <v>111.833333333333</v>
      </c>
      <c r="N1441" s="2" t="s">
        <v>80</v>
      </c>
    </row>
    <row r="1442" s="2" customFormat="1" spans="1:14">
      <c r="A1442" s="20">
        <v>45748</v>
      </c>
      <c r="B1442" s="2" t="s">
        <v>96</v>
      </c>
      <c r="C1442" s="2" t="s">
        <v>97</v>
      </c>
      <c r="D1442" s="2">
        <v>3</v>
      </c>
      <c r="E1442" s="2">
        <v>447</v>
      </c>
      <c r="F1442" s="2">
        <v>108</v>
      </c>
      <c r="G1442" s="2">
        <v>133628</v>
      </c>
      <c r="H1442" s="2">
        <v>6</v>
      </c>
      <c r="I1442" s="2" t="s">
        <v>78</v>
      </c>
      <c r="J1442" s="3">
        <v>0.241610738255034</v>
      </c>
      <c r="K1442" s="21">
        <v>1237.2962962963</v>
      </c>
      <c r="L1442" s="21">
        <v>22271.3333333333</v>
      </c>
      <c r="M1442" s="21">
        <v>74.5</v>
      </c>
      <c r="N1442" s="2" t="s">
        <v>79</v>
      </c>
    </row>
    <row r="1443" s="2" customFormat="1" spans="1:14">
      <c r="A1443" s="20">
        <v>45749</v>
      </c>
      <c r="B1443" s="2" t="s">
        <v>96</v>
      </c>
      <c r="C1443" s="2" t="s">
        <v>97</v>
      </c>
      <c r="D1443" s="2">
        <v>3</v>
      </c>
      <c r="E1443" s="2">
        <v>390</v>
      </c>
      <c r="F1443" s="2">
        <v>93</v>
      </c>
      <c r="G1443" s="2">
        <v>143730</v>
      </c>
      <c r="H1443" s="2">
        <v>5</v>
      </c>
      <c r="I1443" s="2" t="s">
        <v>78</v>
      </c>
      <c r="J1443" s="3">
        <v>0.238461538461539</v>
      </c>
      <c r="K1443" s="21">
        <v>1545.48387096774</v>
      </c>
      <c r="L1443" s="21">
        <v>28746</v>
      </c>
      <c r="M1443" s="21">
        <v>78</v>
      </c>
      <c r="N1443" s="2" t="s">
        <v>79</v>
      </c>
    </row>
    <row r="1444" s="2" customFormat="1" spans="1:14">
      <c r="A1444" s="20">
        <v>45750</v>
      </c>
      <c r="B1444" s="2" t="s">
        <v>96</v>
      </c>
      <c r="C1444" s="2" t="s">
        <v>97</v>
      </c>
      <c r="D1444" s="2">
        <v>3</v>
      </c>
      <c r="E1444" s="2">
        <v>525</v>
      </c>
      <c r="F1444" s="2">
        <v>125</v>
      </c>
      <c r="G1444" s="2">
        <v>190109</v>
      </c>
      <c r="H1444" s="2">
        <v>5</v>
      </c>
      <c r="I1444" s="2" t="s">
        <v>78</v>
      </c>
      <c r="J1444" s="3">
        <v>0.238095238095238</v>
      </c>
      <c r="K1444" s="21">
        <v>1520.872</v>
      </c>
      <c r="L1444" s="21">
        <v>38021.8</v>
      </c>
      <c r="M1444" s="21">
        <v>105</v>
      </c>
      <c r="N1444" s="2" t="s">
        <v>79</v>
      </c>
    </row>
    <row r="1445" s="2" customFormat="1" spans="1:14">
      <c r="A1445" s="20">
        <v>45751</v>
      </c>
      <c r="B1445" s="2" t="s">
        <v>96</v>
      </c>
      <c r="C1445" s="2" t="s">
        <v>97</v>
      </c>
      <c r="D1445" s="2">
        <v>3</v>
      </c>
      <c r="E1445" s="2">
        <v>439</v>
      </c>
      <c r="F1445" s="2">
        <v>107</v>
      </c>
      <c r="G1445" s="2">
        <v>124264</v>
      </c>
      <c r="H1445" s="2">
        <v>7</v>
      </c>
      <c r="I1445" s="2" t="s">
        <v>78</v>
      </c>
      <c r="J1445" s="3">
        <v>0.24373576309795</v>
      </c>
      <c r="K1445" s="21">
        <v>1161.34579439252</v>
      </c>
      <c r="L1445" s="21">
        <v>17752</v>
      </c>
      <c r="M1445" s="21">
        <v>62.7142857142857</v>
      </c>
      <c r="N1445" s="2" t="s">
        <v>79</v>
      </c>
    </row>
    <row r="1446" s="2" customFormat="1" spans="1:14">
      <c r="A1446" s="20">
        <v>45752</v>
      </c>
      <c r="B1446" s="2" t="s">
        <v>96</v>
      </c>
      <c r="C1446" s="2" t="s">
        <v>97</v>
      </c>
      <c r="D1446" s="2">
        <v>3</v>
      </c>
      <c r="E1446" s="2">
        <v>661</v>
      </c>
      <c r="F1446" s="2">
        <v>157</v>
      </c>
      <c r="G1446" s="2">
        <v>196489</v>
      </c>
      <c r="H1446" s="2">
        <v>8</v>
      </c>
      <c r="I1446" s="2" t="s">
        <v>78</v>
      </c>
      <c r="J1446" s="3">
        <v>0.237518910741301</v>
      </c>
      <c r="K1446" s="21">
        <v>1251.52229299363</v>
      </c>
      <c r="L1446" s="21">
        <v>24561.125</v>
      </c>
      <c r="M1446" s="21">
        <v>82.625</v>
      </c>
      <c r="N1446" s="2" t="s">
        <v>80</v>
      </c>
    </row>
    <row r="1447" s="2" customFormat="1" spans="1:14">
      <c r="A1447" s="20">
        <v>45753</v>
      </c>
      <c r="B1447" s="2" t="s">
        <v>96</v>
      </c>
      <c r="C1447" s="2" t="s">
        <v>97</v>
      </c>
      <c r="D1447" s="2">
        <v>3</v>
      </c>
      <c r="E1447" s="2">
        <v>513</v>
      </c>
      <c r="F1447" s="2">
        <v>107</v>
      </c>
      <c r="G1447" s="2">
        <v>137611</v>
      </c>
      <c r="H1447" s="2">
        <v>5</v>
      </c>
      <c r="I1447" s="2" t="s">
        <v>78</v>
      </c>
      <c r="J1447" s="3">
        <v>0.208576998050682</v>
      </c>
      <c r="K1447" s="21">
        <v>1286.08411214953</v>
      </c>
      <c r="L1447" s="21">
        <v>27522.2</v>
      </c>
      <c r="M1447" s="21">
        <v>102.6</v>
      </c>
      <c r="N1447" s="2" t="s">
        <v>80</v>
      </c>
    </row>
    <row r="1448" s="2" customFormat="1" spans="1:14">
      <c r="A1448" s="20">
        <v>45754</v>
      </c>
      <c r="B1448" s="2" t="s">
        <v>96</v>
      </c>
      <c r="C1448" s="2" t="s">
        <v>97</v>
      </c>
      <c r="D1448" s="2">
        <v>3</v>
      </c>
      <c r="E1448" s="2">
        <v>344</v>
      </c>
      <c r="F1448" s="2">
        <v>82</v>
      </c>
      <c r="G1448" s="2">
        <v>131245</v>
      </c>
      <c r="H1448" s="2">
        <v>4</v>
      </c>
      <c r="I1448" s="2" t="s">
        <v>78</v>
      </c>
      <c r="J1448" s="3">
        <v>0.238372093023256</v>
      </c>
      <c r="K1448" s="21">
        <v>1600.54878048781</v>
      </c>
      <c r="L1448" s="21">
        <v>32811.25</v>
      </c>
      <c r="M1448" s="21">
        <v>86</v>
      </c>
      <c r="N1448" s="2" t="s">
        <v>79</v>
      </c>
    </row>
    <row r="1449" s="2" customFormat="1" spans="1:14">
      <c r="A1449" s="20">
        <v>45755</v>
      </c>
      <c r="B1449" s="2" t="s">
        <v>96</v>
      </c>
      <c r="C1449" s="2" t="s">
        <v>97</v>
      </c>
      <c r="D1449" s="2">
        <v>3</v>
      </c>
      <c r="E1449" s="2">
        <v>560</v>
      </c>
      <c r="F1449" s="2">
        <v>128</v>
      </c>
      <c r="G1449" s="2">
        <v>170618</v>
      </c>
      <c r="H1449" s="2">
        <v>9</v>
      </c>
      <c r="I1449" s="2" t="s">
        <v>78</v>
      </c>
      <c r="J1449" s="3">
        <v>0.228571428571429</v>
      </c>
      <c r="K1449" s="21">
        <v>1332.953125</v>
      </c>
      <c r="L1449" s="21">
        <v>18957.5555555556</v>
      </c>
      <c r="M1449" s="21">
        <v>62.2222222222222</v>
      </c>
      <c r="N1449" s="2" t="s">
        <v>79</v>
      </c>
    </row>
    <row r="1450" s="2" customFormat="1" spans="1:14">
      <c r="A1450" s="20">
        <v>45756</v>
      </c>
      <c r="B1450" s="2" t="s">
        <v>96</v>
      </c>
      <c r="C1450" s="2" t="s">
        <v>97</v>
      </c>
      <c r="D1450" s="2">
        <v>3</v>
      </c>
      <c r="E1450" s="2">
        <v>398</v>
      </c>
      <c r="F1450" s="2">
        <v>85</v>
      </c>
      <c r="G1450" s="2">
        <v>130579</v>
      </c>
      <c r="H1450" s="2">
        <v>6</v>
      </c>
      <c r="I1450" s="2" t="s">
        <v>78</v>
      </c>
      <c r="J1450" s="3">
        <v>0.21356783919598</v>
      </c>
      <c r="K1450" s="21">
        <v>1536.22352941176</v>
      </c>
      <c r="L1450" s="21">
        <v>21763.1666666667</v>
      </c>
      <c r="M1450" s="21">
        <v>66.3333333333333</v>
      </c>
      <c r="N1450" s="2" t="s">
        <v>79</v>
      </c>
    </row>
    <row r="1451" s="2" customFormat="1" spans="1:14">
      <c r="A1451" s="20">
        <v>45757</v>
      </c>
      <c r="B1451" s="2" t="s">
        <v>96</v>
      </c>
      <c r="C1451" s="2" t="s">
        <v>97</v>
      </c>
      <c r="D1451" s="2">
        <v>3</v>
      </c>
      <c r="E1451" s="2">
        <v>450</v>
      </c>
      <c r="F1451" s="2">
        <v>113</v>
      </c>
      <c r="G1451" s="2">
        <v>140840</v>
      </c>
      <c r="H1451" s="2">
        <v>5</v>
      </c>
      <c r="I1451" s="2" t="s">
        <v>81</v>
      </c>
      <c r="J1451" s="3">
        <v>0.251111111111111</v>
      </c>
      <c r="K1451" s="21">
        <v>1246.37168141593</v>
      </c>
      <c r="L1451" s="21">
        <v>28168</v>
      </c>
      <c r="M1451" s="21">
        <v>90</v>
      </c>
      <c r="N1451" s="2" t="s">
        <v>79</v>
      </c>
    </row>
    <row r="1452" s="2" customFormat="1" spans="1:14">
      <c r="A1452" s="20">
        <v>45758</v>
      </c>
      <c r="B1452" s="2" t="s">
        <v>96</v>
      </c>
      <c r="C1452" s="2" t="s">
        <v>97</v>
      </c>
      <c r="D1452" s="2">
        <v>3</v>
      </c>
      <c r="E1452" s="2">
        <v>508</v>
      </c>
      <c r="F1452" s="2">
        <v>109</v>
      </c>
      <c r="G1452" s="2">
        <v>151553</v>
      </c>
      <c r="H1452" s="2">
        <v>7</v>
      </c>
      <c r="I1452" s="2" t="s">
        <v>78</v>
      </c>
      <c r="J1452" s="3">
        <v>0.214566929133858</v>
      </c>
      <c r="K1452" s="21">
        <v>1390.39449541284</v>
      </c>
      <c r="L1452" s="21">
        <v>21650.4285714286</v>
      </c>
      <c r="M1452" s="21">
        <v>72.5714285714286</v>
      </c>
      <c r="N1452" s="2" t="s">
        <v>79</v>
      </c>
    </row>
    <row r="1453" s="2" customFormat="1" spans="1:14">
      <c r="A1453" s="20">
        <v>45759</v>
      </c>
      <c r="B1453" s="2" t="s">
        <v>96</v>
      </c>
      <c r="C1453" s="2" t="s">
        <v>97</v>
      </c>
      <c r="D1453" s="2">
        <v>3</v>
      </c>
      <c r="E1453" s="2">
        <v>579</v>
      </c>
      <c r="F1453" s="2">
        <v>129</v>
      </c>
      <c r="G1453" s="2">
        <v>193396</v>
      </c>
      <c r="H1453" s="2">
        <v>8</v>
      </c>
      <c r="I1453" s="2" t="s">
        <v>78</v>
      </c>
      <c r="J1453" s="3">
        <v>0.22279792746114</v>
      </c>
      <c r="K1453" s="21">
        <v>1499.19379844961</v>
      </c>
      <c r="L1453" s="21">
        <v>24174.5</v>
      </c>
      <c r="M1453" s="21">
        <v>72.375</v>
      </c>
      <c r="N1453" s="2" t="s">
        <v>80</v>
      </c>
    </row>
    <row r="1454" s="2" customFormat="1" spans="1:14">
      <c r="A1454" s="20">
        <v>45760</v>
      </c>
      <c r="B1454" s="2" t="s">
        <v>96</v>
      </c>
      <c r="C1454" s="2" t="s">
        <v>97</v>
      </c>
      <c r="D1454" s="2">
        <v>3</v>
      </c>
      <c r="E1454" s="2">
        <v>592</v>
      </c>
      <c r="F1454" s="2">
        <v>132</v>
      </c>
      <c r="G1454" s="2">
        <v>194508</v>
      </c>
      <c r="H1454" s="2">
        <v>9</v>
      </c>
      <c r="I1454" s="2" t="s">
        <v>81</v>
      </c>
      <c r="J1454" s="3">
        <v>0.222972972972973</v>
      </c>
      <c r="K1454" s="21">
        <v>1473.54545454545</v>
      </c>
      <c r="L1454" s="21">
        <v>21612</v>
      </c>
      <c r="M1454" s="21">
        <v>65.7777777777778</v>
      </c>
      <c r="N1454" s="2" t="s">
        <v>80</v>
      </c>
    </row>
    <row r="1455" s="2" customFormat="1" spans="1:14">
      <c r="A1455" s="20">
        <v>45761</v>
      </c>
      <c r="B1455" s="2" t="s">
        <v>96</v>
      </c>
      <c r="C1455" s="2" t="s">
        <v>97</v>
      </c>
      <c r="D1455" s="2">
        <v>3</v>
      </c>
      <c r="E1455" s="2">
        <v>480</v>
      </c>
      <c r="F1455" s="2">
        <v>111</v>
      </c>
      <c r="G1455" s="2">
        <v>156387</v>
      </c>
      <c r="H1455" s="2">
        <v>7</v>
      </c>
      <c r="I1455" s="2" t="s">
        <v>78</v>
      </c>
      <c r="J1455" s="3">
        <v>0.23125</v>
      </c>
      <c r="K1455" s="21">
        <v>1408.89189189189</v>
      </c>
      <c r="L1455" s="21">
        <v>22341</v>
      </c>
      <c r="M1455" s="21">
        <v>68.5714285714286</v>
      </c>
      <c r="N1455" s="2" t="s">
        <v>79</v>
      </c>
    </row>
    <row r="1456" s="2" customFormat="1" spans="1:14">
      <c r="A1456" s="20">
        <v>45762</v>
      </c>
      <c r="B1456" s="2" t="s">
        <v>96</v>
      </c>
      <c r="C1456" s="2" t="s">
        <v>97</v>
      </c>
      <c r="D1456" s="2">
        <v>3</v>
      </c>
      <c r="E1456" s="2">
        <v>487</v>
      </c>
      <c r="F1456" s="2">
        <v>101</v>
      </c>
      <c r="G1456" s="2">
        <v>116635</v>
      </c>
      <c r="H1456" s="2">
        <v>4</v>
      </c>
      <c r="I1456" s="2" t="s">
        <v>78</v>
      </c>
      <c r="J1456" s="3">
        <v>0.207392197125257</v>
      </c>
      <c r="K1456" s="21">
        <v>1154.80198019802</v>
      </c>
      <c r="L1456" s="21">
        <v>29158.75</v>
      </c>
      <c r="M1456" s="21">
        <v>121.75</v>
      </c>
      <c r="N1456" s="2" t="s">
        <v>79</v>
      </c>
    </row>
    <row r="1457" s="2" customFormat="1" spans="1:14">
      <c r="A1457" s="20">
        <v>45763</v>
      </c>
      <c r="B1457" s="2" t="s">
        <v>96</v>
      </c>
      <c r="C1457" s="2" t="s">
        <v>97</v>
      </c>
      <c r="D1457" s="2">
        <v>3</v>
      </c>
      <c r="E1457" s="2">
        <v>451</v>
      </c>
      <c r="F1457" s="2">
        <v>108</v>
      </c>
      <c r="G1457" s="2">
        <v>181988</v>
      </c>
      <c r="H1457" s="2">
        <v>7</v>
      </c>
      <c r="I1457" s="2" t="s">
        <v>78</v>
      </c>
      <c r="J1457" s="3">
        <v>0.239467849223947</v>
      </c>
      <c r="K1457" s="21">
        <v>1685.07407407407</v>
      </c>
      <c r="L1457" s="21">
        <v>25998.2857142857</v>
      </c>
      <c r="M1457" s="21">
        <v>64.4285714285714</v>
      </c>
      <c r="N1457" s="2" t="s">
        <v>79</v>
      </c>
    </row>
    <row r="1458" s="2" customFormat="1" spans="1:14">
      <c r="A1458" s="20">
        <v>45764</v>
      </c>
      <c r="B1458" s="2" t="s">
        <v>96</v>
      </c>
      <c r="C1458" s="2" t="s">
        <v>97</v>
      </c>
      <c r="D1458" s="2">
        <v>3</v>
      </c>
      <c r="E1458" s="2">
        <v>377</v>
      </c>
      <c r="F1458" s="2">
        <v>94</v>
      </c>
      <c r="G1458" s="2">
        <v>110333</v>
      </c>
      <c r="H1458" s="2">
        <v>8</v>
      </c>
      <c r="I1458" s="2" t="s">
        <v>78</v>
      </c>
      <c r="J1458" s="3">
        <v>0.249336870026525</v>
      </c>
      <c r="K1458" s="21">
        <v>1173.75531914894</v>
      </c>
      <c r="L1458" s="21">
        <v>13791.625</v>
      </c>
      <c r="M1458" s="21">
        <v>47.125</v>
      </c>
      <c r="N1458" s="2" t="s">
        <v>79</v>
      </c>
    </row>
    <row r="1459" s="2" customFormat="1" spans="1:14">
      <c r="A1459" s="20">
        <v>45765</v>
      </c>
      <c r="B1459" s="2" t="s">
        <v>96</v>
      </c>
      <c r="C1459" s="2" t="s">
        <v>97</v>
      </c>
      <c r="D1459" s="2">
        <v>3</v>
      </c>
      <c r="E1459" s="2">
        <v>454</v>
      </c>
      <c r="F1459" s="2">
        <v>97</v>
      </c>
      <c r="G1459" s="2">
        <v>112585</v>
      </c>
      <c r="H1459" s="2">
        <v>6</v>
      </c>
      <c r="I1459" s="2" t="s">
        <v>78</v>
      </c>
      <c r="J1459" s="3">
        <v>0.213656387665198</v>
      </c>
      <c r="K1459" s="21">
        <v>1160.67010309278</v>
      </c>
      <c r="L1459" s="21">
        <v>18764.1666666667</v>
      </c>
      <c r="M1459" s="21">
        <v>75.6666666666667</v>
      </c>
      <c r="N1459" s="2" t="s">
        <v>79</v>
      </c>
    </row>
    <row r="1460" s="2" customFormat="1" spans="1:14">
      <c r="A1460" s="20">
        <v>45766</v>
      </c>
      <c r="B1460" s="2" t="s">
        <v>96</v>
      </c>
      <c r="C1460" s="2" t="s">
        <v>97</v>
      </c>
      <c r="D1460" s="2">
        <v>3</v>
      </c>
      <c r="E1460" s="2">
        <v>718</v>
      </c>
      <c r="F1460" s="2">
        <v>187</v>
      </c>
      <c r="G1460" s="2">
        <v>220330</v>
      </c>
      <c r="H1460" s="2">
        <v>8</v>
      </c>
      <c r="I1460" s="2" t="s">
        <v>78</v>
      </c>
      <c r="J1460" s="3">
        <v>0.260445682451253</v>
      </c>
      <c r="K1460" s="21">
        <v>1178.23529411765</v>
      </c>
      <c r="L1460" s="21">
        <v>27541.25</v>
      </c>
      <c r="M1460" s="21">
        <v>89.75</v>
      </c>
      <c r="N1460" s="2" t="s">
        <v>80</v>
      </c>
    </row>
    <row r="1461" s="2" customFormat="1" spans="1:14">
      <c r="A1461" s="20">
        <v>45767</v>
      </c>
      <c r="B1461" s="2" t="s">
        <v>96</v>
      </c>
      <c r="C1461" s="2" t="s">
        <v>97</v>
      </c>
      <c r="D1461" s="2">
        <v>3</v>
      </c>
      <c r="E1461" s="2">
        <v>696</v>
      </c>
      <c r="F1461" s="2">
        <v>153</v>
      </c>
      <c r="G1461" s="2">
        <v>173506</v>
      </c>
      <c r="H1461" s="2">
        <v>4</v>
      </c>
      <c r="I1461" s="2" t="s">
        <v>78</v>
      </c>
      <c r="J1461" s="3">
        <v>0.219827586206896</v>
      </c>
      <c r="K1461" s="21">
        <v>1134.02614379085</v>
      </c>
      <c r="L1461" s="21">
        <v>43376.5</v>
      </c>
      <c r="M1461" s="21">
        <v>174</v>
      </c>
      <c r="N1461" s="2" t="s">
        <v>80</v>
      </c>
    </row>
    <row r="1462" s="2" customFormat="1" spans="1:14">
      <c r="A1462" s="20">
        <v>45768</v>
      </c>
      <c r="B1462" s="2" t="s">
        <v>96</v>
      </c>
      <c r="C1462" s="2" t="s">
        <v>97</v>
      </c>
      <c r="D1462" s="2">
        <v>3</v>
      </c>
      <c r="E1462" s="2">
        <v>496</v>
      </c>
      <c r="F1462" s="2">
        <v>103</v>
      </c>
      <c r="G1462" s="2">
        <v>148086</v>
      </c>
      <c r="H1462" s="2">
        <v>4</v>
      </c>
      <c r="I1462" s="2" t="s">
        <v>78</v>
      </c>
      <c r="J1462" s="3">
        <v>0.207661290322581</v>
      </c>
      <c r="K1462" s="21">
        <v>1437.72815533981</v>
      </c>
      <c r="L1462" s="21">
        <v>37021.5</v>
      </c>
      <c r="M1462" s="21">
        <v>124</v>
      </c>
      <c r="N1462" s="2" t="s">
        <v>79</v>
      </c>
    </row>
    <row r="1463" s="2" customFormat="1" spans="1:14">
      <c r="A1463" s="20">
        <v>45769</v>
      </c>
      <c r="B1463" s="2" t="s">
        <v>96</v>
      </c>
      <c r="C1463" s="2" t="s">
        <v>97</v>
      </c>
      <c r="D1463" s="2">
        <v>3</v>
      </c>
      <c r="E1463" s="2">
        <v>450</v>
      </c>
      <c r="F1463" s="2">
        <v>102</v>
      </c>
      <c r="G1463" s="2">
        <v>113971</v>
      </c>
      <c r="H1463" s="2">
        <v>7</v>
      </c>
      <c r="I1463" s="2" t="s">
        <v>78</v>
      </c>
      <c r="J1463" s="3">
        <v>0.226666666666667</v>
      </c>
      <c r="K1463" s="21">
        <v>1117.36274509804</v>
      </c>
      <c r="L1463" s="21">
        <v>16281.5714285714</v>
      </c>
      <c r="M1463" s="21">
        <v>64.2857142857143</v>
      </c>
      <c r="N1463" s="2" t="s">
        <v>79</v>
      </c>
    </row>
    <row r="1464" s="2" customFormat="1" spans="1:14">
      <c r="A1464" s="20">
        <v>45770</v>
      </c>
      <c r="B1464" s="2" t="s">
        <v>96</v>
      </c>
      <c r="C1464" s="2" t="s">
        <v>97</v>
      </c>
      <c r="D1464" s="2">
        <v>3</v>
      </c>
      <c r="E1464" s="2">
        <v>730</v>
      </c>
      <c r="F1464" s="2">
        <v>174</v>
      </c>
      <c r="G1464" s="2">
        <v>287963</v>
      </c>
      <c r="H1464" s="2">
        <v>7</v>
      </c>
      <c r="I1464" s="2" t="s">
        <v>78</v>
      </c>
      <c r="J1464" s="3">
        <v>0.238356164383562</v>
      </c>
      <c r="K1464" s="21">
        <v>1654.95977011494</v>
      </c>
      <c r="L1464" s="21">
        <v>41137.5714285714</v>
      </c>
      <c r="M1464" s="21">
        <v>104.285714285714</v>
      </c>
      <c r="N1464" s="2" t="s">
        <v>79</v>
      </c>
    </row>
    <row r="1465" s="2" customFormat="1" spans="1:14">
      <c r="A1465" s="20">
        <v>45771</v>
      </c>
      <c r="B1465" s="2" t="s">
        <v>96</v>
      </c>
      <c r="C1465" s="2" t="s">
        <v>97</v>
      </c>
      <c r="D1465" s="2">
        <v>3</v>
      </c>
      <c r="E1465" s="2">
        <v>387</v>
      </c>
      <c r="F1465" s="2">
        <v>96</v>
      </c>
      <c r="G1465" s="2">
        <v>127143</v>
      </c>
      <c r="H1465" s="2">
        <v>7</v>
      </c>
      <c r="I1465" s="2" t="s">
        <v>78</v>
      </c>
      <c r="J1465" s="3">
        <v>0.248062015503876</v>
      </c>
      <c r="K1465" s="21">
        <v>1324.40625</v>
      </c>
      <c r="L1465" s="21">
        <v>18163.2857142857</v>
      </c>
      <c r="M1465" s="21">
        <v>55.2857142857143</v>
      </c>
      <c r="N1465" s="2" t="s">
        <v>79</v>
      </c>
    </row>
    <row r="1466" s="2" customFormat="1" spans="1:14">
      <c r="A1466" s="20">
        <v>45772</v>
      </c>
      <c r="B1466" s="2" t="s">
        <v>96</v>
      </c>
      <c r="C1466" s="2" t="s">
        <v>97</v>
      </c>
      <c r="D1466" s="2">
        <v>3</v>
      </c>
      <c r="E1466" s="2">
        <v>431</v>
      </c>
      <c r="F1466" s="2">
        <v>101</v>
      </c>
      <c r="G1466" s="2">
        <v>136072</v>
      </c>
      <c r="H1466" s="2">
        <v>5</v>
      </c>
      <c r="I1466" s="2" t="s">
        <v>78</v>
      </c>
      <c r="J1466" s="3">
        <v>0.234338747099768</v>
      </c>
      <c r="K1466" s="21">
        <v>1347.24752475248</v>
      </c>
      <c r="L1466" s="21">
        <v>27214.4</v>
      </c>
      <c r="M1466" s="21">
        <v>86.2</v>
      </c>
      <c r="N1466" s="2" t="s">
        <v>79</v>
      </c>
    </row>
    <row r="1467" s="2" customFormat="1" spans="1:14">
      <c r="A1467" s="20">
        <v>45773</v>
      </c>
      <c r="B1467" s="2" t="s">
        <v>96</v>
      </c>
      <c r="C1467" s="2" t="s">
        <v>97</v>
      </c>
      <c r="D1467" s="2">
        <v>3</v>
      </c>
      <c r="E1467" s="2">
        <v>667</v>
      </c>
      <c r="F1467" s="2">
        <v>155</v>
      </c>
      <c r="G1467" s="2">
        <v>182380</v>
      </c>
      <c r="H1467" s="2">
        <v>5</v>
      </c>
      <c r="I1467" s="2" t="s">
        <v>78</v>
      </c>
      <c r="J1467" s="3">
        <v>0.232383808095952</v>
      </c>
      <c r="K1467" s="21">
        <v>1176.64516129032</v>
      </c>
      <c r="L1467" s="21">
        <v>36476</v>
      </c>
      <c r="M1467" s="21">
        <v>133.4</v>
      </c>
      <c r="N1467" s="2" t="s">
        <v>80</v>
      </c>
    </row>
    <row r="1468" s="2" customFormat="1" spans="1:14">
      <c r="A1468" s="20">
        <v>45774</v>
      </c>
      <c r="B1468" s="2" t="s">
        <v>96</v>
      </c>
      <c r="C1468" s="2" t="s">
        <v>97</v>
      </c>
      <c r="D1468" s="2">
        <v>3</v>
      </c>
      <c r="E1468" s="2">
        <v>595</v>
      </c>
      <c r="F1468" s="2">
        <v>155</v>
      </c>
      <c r="G1468" s="2">
        <v>175771</v>
      </c>
      <c r="H1468" s="2">
        <v>8</v>
      </c>
      <c r="I1468" s="2" t="s">
        <v>78</v>
      </c>
      <c r="J1468" s="3">
        <v>0.260504201680672</v>
      </c>
      <c r="K1468" s="21">
        <v>1134.0064516129</v>
      </c>
      <c r="L1468" s="21">
        <v>21971.375</v>
      </c>
      <c r="M1468" s="21">
        <v>74.375</v>
      </c>
      <c r="N1468" s="2" t="s">
        <v>80</v>
      </c>
    </row>
    <row r="1469" s="2" customFormat="1" spans="1:14">
      <c r="A1469" s="20">
        <v>45775</v>
      </c>
      <c r="B1469" s="2" t="s">
        <v>96</v>
      </c>
      <c r="C1469" s="2" t="s">
        <v>97</v>
      </c>
      <c r="D1469" s="2">
        <v>3</v>
      </c>
      <c r="E1469" s="2">
        <v>397</v>
      </c>
      <c r="F1469" s="2">
        <v>98</v>
      </c>
      <c r="G1469" s="2">
        <v>147807</v>
      </c>
      <c r="H1469" s="2">
        <v>9</v>
      </c>
      <c r="I1469" s="2" t="s">
        <v>78</v>
      </c>
      <c r="J1469" s="3">
        <v>0.246851385390428</v>
      </c>
      <c r="K1469" s="21">
        <v>1508.23469387755</v>
      </c>
      <c r="L1469" s="21">
        <v>16423</v>
      </c>
      <c r="M1469" s="21">
        <v>44.1111111111111</v>
      </c>
      <c r="N1469" s="2" t="s">
        <v>79</v>
      </c>
    </row>
    <row r="1470" s="2" customFormat="1" spans="1:14">
      <c r="A1470" s="20">
        <v>45776</v>
      </c>
      <c r="B1470" s="2" t="s">
        <v>96</v>
      </c>
      <c r="C1470" s="2" t="s">
        <v>97</v>
      </c>
      <c r="D1470" s="2">
        <v>3</v>
      </c>
      <c r="E1470" s="2">
        <v>443</v>
      </c>
      <c r="F1470" s="2">
        <v>103</v>
      </c>
      <c r="G1470" s="2">
        <v>161849</v>
      </c>
      <c r="H1470" s="2">
        <v>9</v>
      </c>
      <c r="I1470" s="2" t="s">
        <v>78</v>
      </c>
      <c r="J1470" s="3">
        <v>0.232505643340858</v>
      </c>
      <c r="K1470" s="21">
        <v>1571.34951456311</v>
      </c>
      <c r="L1470" s="21">
        <v>17983.2222222222</v>
      </c>
      <c r="M1470" s="21">
        <v>49.2222222222222</v>
      </c>
      <c r="N1470" s="2" t="s">
        <v>79</v>
      </c>
    </row>
    <row r="1471" s="2" customFormat="1" spans="1:14">
      <c r="A1471" s="20">
        <v>45777</v>
      </c>
      <c r="B1471" s="2" t="s">
        <v>96</v>
      </c>
      <c r="C1471" s="2" t="s">
        <v>97</v>
      </c>
      <c r="D1471" s="2">
        <v>3</v>
      </c>
      <c r="E1471" s="2">
        <v>358</v>
      </c>
      <c r="F1471" s="2">
        <v>81</v>
      </c>
      <c r="G1471" s="2">
        <v>130544</v>
      </c>
      <c r="H1471" s="2">
        <v>9</v>
      </c>
      <c r="I1471" s="2" t="s">
        <v>81</v>
      </c>
      <c r="J1471" s="3">
        <v>0.226256983240224</v>
      </c>
      <c r="K1471" s="21">
        <v>1611.65432098765</v>
      </c>
      <c r="L1471" s="21">
        <v>14504.8888888889</v>
      </c>
      <c r="M1471" s="21">
        <v>39.7777777777778</v>
      </c>
      <c r="N1471" s="2" t="s">
        <v>79</v>
      </c>
    </row>
    <row r="1472" s="2" customFormat="1" spans="1:14">
      <c r="A1472" s="20">
        <v>45778</v>
      </c>
      <c r="B1472" s="2" t="s">
        <v>96</v>
      </c>
      <c r="C1472" s="2" t="s">
        <v>97</v>
      </c>
      <c r="D1472" s="2">
        <v>3</v>
      </c>
      <c r="E1472" s="2">
        <v>428</v>
      </c>
      <c r="F1472" s="2">
        <v>96</v>
      </c>
      <c r="G1472" s="2">
        <v>136977</v>
      </c>
      <c r="H1472" s="2">
        <v>8</v>
      </c>
      <c r="I1472" s="2" t="s">
        <v>78</v>
      </c>
      <c r="J1472" s="3">
        <v>0.224299065420561</v>
      </c>
      <c r="K1472" s="21">
        <v>1426.84375</v>
      </c>
      <c r="L1472" s="21">
        <v>17122.125</v>
      </c>
      <c r="M1472" s="21">
        <v>53.5</v>
      </c>
      <c r="N1472" s="2" t="s">
        <v>79</v>
      </c>
    </row>
    <row r="1473" s="2" customFormat="1" spans="1:14">
      <c r="A1473" s="20">
        <v>45779</v>
      </c>
      <c r="B1473" s="2" t="s">
        <v>96</v>
      </c>
      <c r="C1473" s="2" t="s">
        <v>97</v>
      </c>
      <c r="D1473" s="2">
        <v>3</v>
      </c>
      <c r="E1473" s="2">
        <v>464</v>
      </c>
      <c r="F1473" s="2">
        <v>115</v>
      </c>
      <c r="G1473" s="2">
        <v>165925</v>
      </c>
      <c r="H1473" s="2">
        <v>6</v>
      </c>
      <c r="I1473" s="2" t="s">
        <v>78</v>
      </c>
      <c r="J1473" s="3">
        <v>0.247844827586207</v>
      </c>
      <c r="K1473" s="21">
        <v>1442.82608695652</v>
      </c>
      <c r="L1473" s="21">
        <v>27654.1666666667</v>
      </c>
      <c r="M1473" s="21">
        <v>77.3333333333333</v>
      </c>
      <c r="N1473" s="2" t="s">
        <v>79</v>
      </c>
    </row>
    <row r="1474" s="2" customFormat="1" spans="1:14">
      <c r="A1474" s="20">
        <v>45780</v>
      </c>
      <c r="B1474" s="2" t="s">
        <v>96</v>
      </c>
      <c r="C1474" s="2" t="s">
        <v>97</v>
      </c>
      <c r="D1474" s="2">
        <v>3</v>
      </c>
      <c r="E1474" s="2">
        <v>642</v>
      </c>
      <c r="F1474" s="2">
        <v>136</v>
      </c>
      <c r="G1474" s="2">
        <v>186915</v>
      </c>
      <c r="H1474" s="2">
        <v>6</v>
      </c>
      <c r="I1474" s="2" t="s">
        <v>81</v>
      </c>
      <c r="J1474" s="3">
        <v>0.21183800623053</v>
      </c>
      <c r="K1474" s="21">
        <v>1374.375</v>
      </c>
      <c r="L1474" s="21">
        <v>31152.5</v>
      </c>
      <c r="M1474" s="21">
        <v>107</v>
      </c>
      <c r="N1474" s="2" t="s">
        <v>80</v>
      </c>
    </row>
    <row r="1475" s="2" customFormat="1" spans="1:14">
      <c r="A1475" s="20">
        <v>45781</v>
      </c>
      <c r="B1475" s="2" t="s">
        <v>96</v>
      </c>
      <c r="C1475" s="2" t="s">
        <v>97</v>
      </c>
      <c r="D1475" s="2">
        <v>3</v>
      </c>
      <c r="E1475" s="2">
        <v>654</v>
      </c>
      <c r="F1475" s="2">
        <v>142</v>
      </c>
      <c r="G1475" s="2">
        <v>217693</v>
      </c>
      <c r="H1475" s="2">
        <v>5</v>
      </c>
      <c r="I1475" s="2" t="s">
        <v>78</v>
      </c>
      <c r="J1475" s="3">
        <v>0.217125382262997</v>
      </c>
      <c r="K1475" s="21">
        <v>1533.04929577465</v>
      </c>
      <c r="L1475" s="21">
        <v>43538.6</v>
      </c>
      <c r="M1475" s="21">
        <v>130.8</v>
      </c>
      <c r="N1475" s="2" t="s">
        <v>80</v>
      </c>
    </row>
    <row r="1476" s="2" customFormat="1" spans="1:14">
      <c r="A1476" s="20">
        <v>45782</v>
      </c>
      <c r="B1476" s="2" t="s">
        <v>96</v>
      </c>
      <c r="C1476" s="2" t="s">
        <v>97</v>
      </c>
      <c r="D1476" s="2">
        <v>3</v>
      </c>
      <c r="E1476" s="2">
        <v>369</v>
      </c>
      <c r="F1476" s="2">
        <v>92</v>
      </c>
      <c r="G1476" s="2">
        <v>124497</v>
      </c>
      <c r="H1476" s="2">
        <v>6</v>
      </c>
      <c r="I1476" s="2" t="s">
        <v>78</v>
      </c>
      <c r="J1476" s="3">
        <v>0.249322493224932</v>
      </c>
      <c r="K1476" s="21">
        <v>1353.22826086957</v>
      </c>
      <c r="L1476" s="21">
        <v>20749.5</v>
      </c>
      <c r="M1476" s="21">
        <v>61.5</v>
      </c>
      <c r="N1476" s="2" t="s">
        <v>79</v>
      </c>
    </row>
    <row r="1477" s="2" customFormat="1" spans="1:14">
      <c r="A1477" s="20">
        <v>45783</v>
      </c>
      <c r="B1477" s="2" t="s">
        <v>96</v>
      </c>
      <c r="C1477" s="2" t="s">
        <v>97</v>
      </c>
      <c r="D1477" s="2">
        <v>3</v>
      </c>
      <c r="E1477" s="2">
        <v>473</v>
      </c>
      <c r="F1477" s="2">
        <v>120</v>
      </c>
      <c r="G1477" s="2">
        <v>150341</v>
      </c>
      <c r="H1477" s="2">
        <v>7</v>
      </c>
      <c r="I1477" s="2" t="s">
        <v>81</v>
      </c>
      <c r="J1477" s="3">
        <v>0.25369978858351</v>
      </c>
      <c r="K1477" s="21">
        <v>1252.84166666667</v>
      </c>
      <c r="L1477" s="21">
        <v>21477.2857142857</v>
      </c>
      <c r="M1477" s="21">
        <v>67.5714285714286</v>
      </c>
      <c r="N1477" s="2" t="s">
        <v>79</v>
      </c>
    </row>
    <row r="1478" s="2" customFormat="1" spans="1:14">
      <c r="A1478" s="20">
        <v>45784</v>
      </c>
      <c r="B1478" s="2" t="s">
        <v>96</v>
      </c>
      <c r="C1478" s="2" t="s">
        <v>97</v>
      </c>
      <c r="D1478" s="2">
        <v>3</v>
      </c>
      <c r="E1478" s="2">
        <v>380</v>
      </c>
      <c r="F1478" s="2">
        <v>89</v>
      </c>
      <c r="G1478" s="2">
        <v>131438</v>
      </c>
      <c r="H1478" s="2">
        <v>7</v>
      </c>
      <c r="I1478" s="2" t="s">
        <v>78</v>
      </c>
      <c r="J1478" s="3">
        <v>0.23421052631579</v>
      </c>
      <c r="K1478" s="21">
        <v>1476.83146067416</v>
      </c>
      <c r="L1478" s="21">
        <v>18776.8571428571</v>
      </c>
      <c r="M1478" s="21">
        <v>54.2857142857143</v>
      </c>
      <c r="N1478" s="2" t="s">
        <v>79</v>
      </c>
    </row>
    <row r="1479" s="2" customFormat="1" spans="1:14">
      <c r="A1479" s="20">
        <v>45785</v>
      </c>
      <c r="B1479" s="2" t="s">
        <v>96</v>
      </c>
      <c r="C1479" s="2" t="s">
        <v>97</v>
      </c>
      <c r="D1479" s="2">
        <v>3</v>
      </c>
      <c r="E1479" s="2">
        <v>432</v>
      </c>
      <c r="F1479" s="2">
        <v>94</v>
      </c>
      <c r="G1479" s="2">
        <v>119622</v>
      </c>
      <c r="H1479" s="2">
        <v>6</v>
      </c>
      <c r="I1479" s="2" t="s">
        <v>78</v>
      </c>
      <c r="J1479" s="3">
        <v>0.217592592592593</v>
      </c>
      <c r="K1479" s="21">
        <v>1272.57446808511</v>
      </c>
      <c r="L1479" s="21">
        <v>19937</v>
      </c>
      <c r="M1479" s="21">
        <v>72</v>
      </c>
      <c r="N1479" s="2" t="s">
        <v>79</v>
      </c>
    </row>
    <row r="1480" s="2" customFormat="1" spans="1:14">
      <c r="A1480" s="20">
        <v>45786</v>
      </c>
      <c r="B1480" s="2" t="s">
        <v>96</v>
      </c>
      <c r="C1480" s="2" t="s">
        <v>97</v>
      </c>
      <c r="D1480" s="2">
        <v>3</v>
      </c>
      <c r="E1480" s="2">
        <v>381</v>
      </c>
      <c r="F1480" s="2">
        <v>100</v>
      </c>
      <c r="G1480" s="2">
        <v>132885</v>
      </c>
      <c r="H1480" s="2">
        <v>9</v>
      </c>
      <c r="I1480" s="2" t="s">
        <v>78</v>
      </c>
      <c r="J1480" s="3">
        <v>0.26246719160105</v>
      </c>
      <c r="K1480" s="21">
        <v>1328.85</v>
      </c>
      <c r="L1480" s="21">
        <v>14765</v>
      </c>
      <c r="M1480" s="21">
        <v>42.3333333333333</v>
      </c>
      <c r="N1480" s="2" t="s">
        <v>79</v>
      </c>
    </row>
    <row r="1481" s="2" customFormat="1" spans="1:14">
      <c r="A1481" s="20">
        <v>45787</v>
      </c>
      <c r="B1481" s="2" t="s">
        <v>96</v>
      </c>
      <c r="C1481" s="2" t="s">
        <v>97</v>
      </c>
      <c r="D1481" s="2">
        <v>3</v>
      </c>
      <c r="E1481" s="2">
        <v>687</v>
      </c>
      <c r="F1481" s="2">
        <v>155</v>
      </c>
      <c r="G1481" s="2">
        <v>211528</v>
      </c>
      <c r="H1481" s="2">
        <v>5</v>
      </c>
      <c r="I1481" s="2" t="s">
        <v>78</v>
      </c>
      <c r="J1481" s="3">
        <v>0.225618631732169</v>
      </c>
      <c r="K1481" s="21">
        <v>1364.69677419355</v>
      </c>
      <c r="L1481" s="21">
        <v>42305.6</v>
      </c>
      <c r="M1481" s="21">
        <v>137.4</v>
      </c>
      <c r="N1481" s="2" t="s">
        <v>80</v>
      </c>
    </row>
    <row r="1482" s="2" customFormat="1" spans="1:14">
      <c r="A1482" s="20">
        <v>45788</v>
      </c>
      <c r="B1482" s="2" t="s">
        <v>96</v>
      </c>
      <c r="C1482" s="2" t="s">
        <v>97</v>
      </c>
      <c r="D1482" s="2">
        <v>3</v>
      </c>
      <c r="E1482" s="2">
        <v>543</v>
      </c>
      <c r="F1482" s="2">
        <v>132</v>
      </c>
      <c r="G1482" s="2">
        <v>158220</v>
      </c>
      <c r="H1482" s="2">
        <v>8</v>
      </c>
      <c r="I1482" s="2" t="s">
        <v>78</v>
      </c>
      <c r="J1482" s="3">
        <v>0.243093922651934</v>
      </c>
      <c r="K1482" s="21">
        <v>1198.63636363636</v>
      </c>
      <c r="L1482" s="21">
        <v>19777.5</v>
      </c>
      <c r="M1482" s="21">
        <v>67.875</v>
      </c>
      <c r="N1482" s="2" t="s">
        <v>80</v>
      </c>
    </row>
    <row r="1483" s="2" customFormat="1" spans="1:14">
      <c r="A1483" s="20">
        <v>45789</v>
      </c>
      <c r="B1483" s="2" t="s">
        <v>96</v>
      </c>
      <c r="C1483" s="2" t="s">
        <v>97</v>
      </c>
      <c r="D1483" s="2">
        <v>3</v>
      </c>
      <c r="E1483" s="2">
        <v>402</v>
      </c>
      <c r="F1483" s="2">
        <v>90</v>
      </c>
      <c r="G1483" s="2">
        <v>100476</v>
      </c>
      <c r="H1483" s="2">
        <v>7</v>
      </c>
      <c r="I1483" s="2" t="s">
        <v>78</v>
      </c>
      <c r="J1483" s="3">
        <v>0.223880597014925</v>
      </c>
      <c r="K1483" s="21">
        <v>1116.4</v>
      </c>
      <c r="L1483" s="21">
        <v>14353.7142857143</v>
      </c>
      <c r="M1483" s="21">
        <v>57.4285714285714</v>
      </c>
      <c r="N1483" s="2" t="s">
        <v>79</v>
      </c>
    </row>
    <row r="1484" s="2" customFormat="1" spans="1:14">
      <c r="A1484" s="20">
        <v>45790</v>
      </c>
      <c r="B1484" s="2" t="s">
        <v>96</v>
      </c>
      <c r="C1484" s="2" t="s">
        <v>97</v>
      </c>
      <c r="D1484" s="2">
        <v>3</v>
      </c>
      <c r="E1484" s="2">
        <v>391</v>
      </c>
      <c r="F1484" s="2">
        <v>94</v>
      </c>
      <c r="G1484" s="2">
        <v>137723</v>
      </c>
      <c r="H1484" s="2">
        <v>4</v>
      </c>
      <c r="I1484" s="2" t="s">
        <v>78</v>
      </c>
      <c r="J1484" s="3">
        <v>0.240409207161125</v>
      </c>
      <c r="K1484" s="21">
        <v>1465.13829787234</v>
      </c>
      <c r="L1484" s="21">
        <v>34430.75</v>
      </c>
      <c r="M1484" s="21">
        <v>97.75</v>
      </c>
      <c r="N1484" s="2" t="s">
        <v>79</v>
      </c>
    </row>
    <row r="1485" s="2" customFormat="1" spans="1:14">
      <c r="A1485" s="20">
        <v>45791</v>
      </c>
      <c r="B1485" s="2" t="s">
        <v>96</v>
      </c>
      <c r="C1485" s="2" t="s">
        <v>97</v>
      </c>
      <c r="D1485" s="2">
        <v>3</v>
      </c>
      <c r="E1485" s="2">
        <v>458</v>
      </c>
      <c r="F1485" s="2">
        <v>106</v>
      </c>
      <c r="G1485" s="2">
        <v>118561</v>
      </c>
      <c r="H1485" s="2">
        <v>4</v>
      </c>
      <c r="I1485" s="2" t="s">
        <v>78</v>
      </c>
      <c r="J1485" s="3">
        <v>0.231441048034935</v>
      </c>
      <c r="K1485" s="21">
        <v>1118.5</v>
      </c>
      <c r="L1485" s="21">
        <v>29640.25</v>
      </c>
      <c r="M1485" s="21">
        <v>114.5</v>
      </c>
      <c r="N1485" s="2" t="s">
        <v>79</v>
      </c>
    </row>
    <row r="1486" s="2" customFormat="1" spans="1:14">
      <c r="A1486" s="20">
        <v>45792</v>
      </c>
      <c r="B1486" s="2" t="s">
        <v>96</v>
      </c>
      <c r="C1486" s="2" t="s">
        <v>97</v>
      </c>
      <c r="D1486" s="2">
        <v>3</v>
      </c>
      <c r="E1486" s="2">
        <v>477</v>
      </c>
      <c r="F1486" s="2">
        <v>114</v>
      </c>
      <c r="G1486" s="2">
        <v>144782</v>
      </c>
      <c r="H1486" s="2">
        <v>7</v>
      </c>
      <c r="I1486" s="2" t="s">
        <v>78</v>
      </c>
      <c r="J1486" s="3">
        <v>0.238993710691824</v>
      </c>
      <c r="K1486" s="21">
        <v>1270.01754385965</v>
      </c>
      <c r="L1486" s="21">
        <v>20683.1428571429</v>
      </c>
      <c r="M1486" s="21">
        <v>68.1428571428571</v>
      </c>
      <c r="N1486" s="2" t="s">
        <v>79</v>
      </c>
    </row>
    <row r="1487" s="2" customFormat="1" spans="1:14">
      <c r="A1487" s="20">
        <v>45793</v>
      </c>
      <c r="B1487" s="2" t="s">
        <v>96</v>
      </c>
      <c r="C1487" s="2" t="s">
        <v>97</v>
      </c>
      <c r="D1487" s="2">
        <v>3</v>
      </c>
      <c r="E1487" s="2">
        <v>418</v>
      </c>
      <c r="F1487" s="2">
        <v>94</v>
      </c>
      <c r="G1487" s="2">
        <v>121092</v>
      </c>
      <c r="H1487" s="2">
        <v>5</v>
      </c>
      <c r="I1487" s="2" t="s">
        <v>78</v>
      </c>
      <c r="J1487" s="3">
        <v>0.22488038277512</v>
      </c>
      <c r="K1487" s="21">
        <v>1288.21276595745</v>
      </c>
      <c r="L1487" s="21">
        <v>24218.4</v>
      </c>
      <c r="M1487" s="21">
        <v>83.6</v>
      </c>
      <c r="N1487" s="2" t="s">
        <v>79</v>
      </c>
    </row>
    <row r="1488" s="2" customFormat="1" spans="1:14">
      <c r="A1488" s="20">
        <v>45794</v>
      </c>
      <c r="B1488" s="2" t="s">
        <v>96</v>
      </c>
      <c r="C1488" s="2" t="s">
        <v>97</v>
      </c>
      <c r="D1488" s="2">
        <v>3</v>
      </c>
      <c r="E1488" s="2">
        <v>646</v>
      </c>
      <c r="F1488" s="2">
        <v>134</v>
      </c>
      <c r="G1488" s="2">
        <v>206529</v>
      </c>
      <c r="H1488" s="2">
        <v>4</v>
      </c>
      <c r="I1488" s="2" t="s">
        <v>78</v>
      </c>
      <c r="J1488" s="3">
        <v>0.207430340557275</v>
      </c>
      <c r="K1488" s="21">
        <v>1541.26119402985</v>
      </c>
      <c r="L1488" s="21">
        <v>51632.25</v>
      </c>
      <c r="M1488" s="21">
        <v>161.5</v>
      </c>
      <c r="N1488" s="2" t="s">
        <v>80</v>
      </c>
    </row>
    <row r="1489" s="2" customFormat="1" spans="1:14">
      <c r="A1489" s="20">
        <v>45795</v>
      </c>
      <c r="B1489" s="2" t="s">
        <v>96</v>
      </c>
      <c r="C1489" s="2" t="s">
        <v>97</v>
      </c>
      <c r="D1489" s="2">
        <v>3</v>
      </c>
      <c r="E1489" s="2">
        <v>681</v>
      </c>
      <c r="F1489" s="2">
        <v>155</v>
      </c>
      <c r="G1489" s="2">
        <v>234031</v>
      </c>
      <c r="H1489" s="2">
        <v>8</v>
      </c>
      <c r="I1489" s="2" t="s">
        <v>78</v>
      </c>
      <c r="J1489" s="3">
        <v>0.227606461086637</v>
      </c>
      <c r="K1489" s="21">
        <v>1509.87741935484</v>
      </c>
      <c r="L1489" s="21">
        <v>29253.875</v>
      </c>
      <c r="M1489" s="21">
        <v>85.125</v>
      </c>
      <c r="N1489" s="2" t="s">
        <v>80</v>
      </c>
    </row>
    <row r="1490" s="2" customFormat="1" spans="1:14">
      <c r="A1490" s="20">
        <v>45796</v>
      </c>
      <c r="B1490" s="2" t="s">
        <v>96</v>
      </c>
      <c r="C1490" s="2" t="s">
        <v>97</v>
      </c>
      <c r="D1490" s="2">
        <v>3</v>
      </c>
      <c r="E1490" s="2">
        <v>535</v>
      </c>
      <c r="F1490" s="2">
        <v>126</v>
      </c>
      <c r="G1490" s="2">
        <v>173768</v>
      </c>
      <c r="H1490" s="2">
        <v>7</v>
      </c>
      <c r="I1490" s="2" t="s">
        <v>81</v>
      </c>
      <c r="J1490" s="3">
        <v>0.235514018691589</v>
      </c>
      <c r="K1490" s="21">
        <v>1379.11111111111</v>
      </c>
      <c r="L1490" s="21">
        <v>24824</v>
      </c>
      <c r="M1490" s="21">
        <v>76.4285714285714</v>
      </c>
      <c r="N1490" s="2" t="s">
        <v>79</v>
      </c>
    </row>
    <row r="1491" s="2" customFormat="1" spans="1:14">
      <c r="A1491" s="20">
        <v>45797</v>
      </c>
      <c r="B1491" s="2" t="s">
        <v>96</v>
      </c>
      <c r="C1491" s="2" t="s">
        <v>97</v>
      </c>
      <c r="D1491" s="2">
        <v>3</v>
      </c>
      <c r="E1491" s="2">
        <v>429</v>
      </c>
      <c r="F1491" s="2">
        <v>105</v>
      </c>
      <c r="G1491" s="2">
        <v>173493</v>
      </c>
      <c r="H1491" s="2">
        <v>7</v>
      </c>
      <c r="I1491" s="2" t="s">
        <v>78</v>
      </c>
      <c r="J1491" s="3">
        <v>0.244755244755245</v>
      </c>
      <c r="K1491" s="21">
        <v>1652.31428571429</v>
      </c>
      <c r="L1491" s="21">
        <v>24784.7142857143</v>
      </c>
      <c r="M1491" s="21">
        <v>61.2857142857143</v>
      </c>
      <c r="N1491" s="2" t="s">
        <v>79</v>
      </c>
    </row>
    <row r="1492" s="2" customFormat="1" spans="1:14">
      <c r="A1492" s="20">
        <v>45798</v>
      </c>
      <c r="B1492" s="2" t="s">
        <v>96</v>
      </c>
      <c r="C1492" s="2" t="s">
        <v>97</v>
      </c>
      <c r="D1492" s="2">
        <v>3</v>
      </c>
      <c r="E1492" s="2">
        <v>438</v>
      </c>
      <c r="F1492" s="2">
        <v>88</v>
      </c>
      <c r="G1492" s="2">
        <v>101291</v>
      </c>
      <c r="H1492" s="2">
        <v>4</v>
      </c>
      <c r="I1492" s="2" t="s">
        <v>78</v>
      </c>
      <c r="J1492" s="3">
        <v>0.200913242009132</v>
      </c>
      <c r="K1492" s="21">
        <v>1151.03409090909</v>
      </c>
      <c r="L1492" s="21">
        <v>25322.75</v>
      </c>
      <c r="M1492" s="21">
        <v>109.5</v>
      </c>
      <c r="N1492" s="2" t="s">
        <v>79</v>
      </c>
    </row>
    <row r="1493" s="2" customFormat="1" spans="1:14">
      <c r="A1493" s="20">
        <v>45799</v>
      </c>
      <c r="B1493" s="2" t="s">
        <v>96</v>
      </c>
      <c r="C1493" s="2" t="s">
        <v>97</v>
      </c>
      <c r="D1493" s="2">
        <v>3</v>
      </c>
      <c r="E1493" s="2">
        <v>418</v>
      </c>
      <c r="F1493" s="2">
        <v>87</v>
      </c>
      <c r="G1493" s="2">
        <v>105647</v>
      </c>
      <c r="H1493" s="2">
        <v>5</v>
      </c>
      <c r="I1493" s="2" t="s">
        <v>78</v>
      </c>
      <c r="J1493" s="3">
        <v>0.208133971291866</v>
      </c>
      <c r="K1493" s="21">
        <v>1214.33333333333</v>
      </c>
      <c r="L1493" s="21">
        <v>21129.4</v>
      </c>
      <c r="M1493" s="21">
        <v>83.6</v>
      </c>
      <c r="N1493" s="2" t="s">
        <v>79</v>
      </c>
    </row>
    <row r="1494" s="2" customFormat="1" spans="1:14">
      <c r="A1494" s="20">
        <v>45800</v>
      </c>
      <c r="B1494" s="2" t="s">
        <v>96</v>
      </c>
      <c r="C1494" s="2" t="s">
        <v>97</v>
      </c>
      <c r="D1494" s="2">
        <v>3</v>
      </c>
      <c r="E1494" s="2">
        <v>370</v>
      </c>
      <c r="F1494" s="2">
        <v>89</v>
      </c>
      <c r="G1494" s="2">
        <v>147436</v>
      </c>
      <c r="H1494" s="2">
        <v>6</v>
      </c>
      <c r="I1494" s="2" t="s">
        <v>81</v>
      </c>
      <c r="J1494" s="3">
        <v>0.240540540540541</v>
      </c>
      <c r="K1494" s="21">
        <v>1656.58426966292</v>
      </c>
      <c r="L1494" s="21">
        <v>24572.6666666667</v>
      </c>
      <c r="M1494" s="21">
        <v>61.6666666666667</v>
      </c>
      <c r="N1494" s="2" t="s">
        <v>79</v>
      </c>
    </row>
    <row r="1495" s="2" customFormat="1" spans="1:14">
      <c r="A1495" s="20">
        <v>45801</v>
      </c>
      <c r="B1495" s="2" t="s">
        <v>96</v>
      </c>
      <c r="C1495" s="2" t="s">
        <v>97</v>
      </c>
      <c r="D1495" s="2">
        <v>3</v>
      </c>
      <c r="E1495" s="2">
        <v>584</v>
      </c>
      <c r="F1495" s="2">
        <v>124</v>
      </c>
      <c r="G1495" s="2">
        <v>205916</v>
      </c>
      <c r="H1495" s="2">
        <v>6</v>
      </c>
      <c r="I1495" s="2" t="s">
        <v>81</v>
      </c>
      <c r="J1495" s="3">
        <v>0.212328767123288</v>
      </c>
      <c r="K1495" s="21">
        <v>1660.61290322581</v>
      </c>
      <c r="L1495" s="21">
        <v>34319.3333333333</v>
      </c>
      <c r="M1495" s="21">
        <v>97.3333333333333</v>
      </c>
      <c r="N1495" s="2" t="s">
        <v>80</v>
      </c>
    </row>
    <row r="1496" s="2" customFormat="1" spans="1:14">
      <c r="A1496" s="20">
        <v>45802</v>
      </c>
      <c r="B1496" s="2" t="s">
        <v>96</v>
      </c>
      <c r="C1496" s="2" t="s">
        <v>97</v>
      </c>
      <c r="D1496" s="2">
        <v>3</v>
      </c>
      <c r="E1496" s="2">
        <v>571</v>
      </c>
      <c r="F1496" s="2">
        <v>136</v>
      </c>
      <c r="G1496" s="2">
        <v>205501</v>
      </c>
      <c r="H1496" s="2">
        <v>4</v>
      </c>
      <c r="I1496" s="2" t="s">
        <v>78</v>
      </c>
      <c r="J1496" s="3">
        <v>0.238178633975482</v>
      </c>
      <c r="K1496" s="21">
        <v>1511.03676470588</v>
      </c>
      <c r="L1496" s="21">
        <v>51375.25</v>
      </c>
      <c r="M1496" s="21">
        <v>142.75</v>
      </c>
      <c r="N1496" s="2" t="s">
        <v>80</v>
      </c>
    </row>
    <row r="1497" s="2" customFormat="1" spans="1:14">
      <c r="A1497" s="20">
        <v>45803</v>
      </c>
      <c r="B1497" s="2" t="s">
        <v>96</v>
      </c>
      <c r="C1497" s="2" t="s">
        <v>97</v>
      </c>
      <c r="D1497" s="2">
        <v>3</v>
      </c>
      <c r="E1497" s="2">
        <v>415</v>
      </c>
      <c r="F1497" s="2">
        <v>92</v>
      </c>
      <c r="G1497" s="2">
        <v>143525</v>
      </c>
      <c r="H1497" s="2">
        <v>4</v>
      </c>
      <c r="I1497" s="2" t="s">
        <v>78</v>
      </c>
      <c r="J1497" s="3">
        <v>0.221686746987952</v>
      </c>
      <c r="K1497" s="21">
        <v>1560.05434782609</v>
      </c>
      <c r="L1497" s="21">
        <v>35881.25</v>
      </c>
      <c r="M1497" s="21">
        <v>103.75</v>
      </c>
      <c r="N1497" s="2" t="s">
        <v>79</v>
      </c>
    </row>
    <row r="1498" s="2" customFormat="1" spans="1:14">
      <c r="A1498" s="20">
        <v>45804</v>
      </c>
      <c r="B1498" s="2" t="s">
        <v>96</v>
      </c>
      <c r="C1498" s="2" t="s">
        <v>97</v>
      </c>
      <c r="D1498" s="2">
        <v>3</v>
      </c>
      <c r="E1498" s="2">
        <v>416</v>
      </c>
      <c r="F1498" s="2">
        <v>93</v>
      </c>
      <c r="G1498" s="2">
        <v>144854</v>
      </c>
      <c r="H1498" s="2">
        <v>7</v>
      </c>
      <c r="I1498" s="2" t="s">
        <v>78</v>
      </c>
      <c r="J1498" s="3">
        <v>0.223557692307692</v>
      </c>
      <c r="K1498" s="21">
        <v>1557.56989247312</v>
      </c>
      <c r="L1498" s="21">
        <v>20693.4285714286</v>
      </c>
      <c r="M1498" s="21">
        <v>59.4285714285714</v>
      </c>
      <c r="N1498" s="2" t="s">
        <v>79</v>
      </c>
    </row>
    <row r="1499" s="2" customFormat="1" spans="1:14">
      <c r="A1499" s="20">
        <v>45805</v>
      </c>
      <c r="B1499" s="2" t="s">
        <v>96</v>
      </c>
      <c r="C1499" s="2" t="s">
        <v>97</v>
      </c>
      <c r="D1499" s="2">
        <v>3</v>
      </c>
      <c r="E1499" s="2">
        <v>395</v>
      </c>
      <c r="F1499" s="2">
        <v>89</v>
      </c>
      <c r="G1499" s="2">
        <v>135714</v>
      </c>
      <c r="H1499" s="2">
        <v>9</v>
      </c>
      <c r="I1499" s="2" t="s">
        <v>81</v>
      </c>
      <c r="J1499" s="3">
        <v>0.225316455696203</v>
      </c>
      <c r="K1499" s="21">
        <v>1524.87640449438</v>
      </c>
      <c r="L1499" s="21">
        <v>15079.3333333333</v>
      </c>
      <c r="M1499" s="21">
        <v>43.8888888888889</v>
      </c>
      <c r="N1499" s="2" t="s">
        <v>79</v>
      </c>
    </row>
    <row r="1500" s="2" customFormat="1" spans="1:14">
      <c r="A1500" s="20">
        <v>45806</v>
      </c>
      <c r="B1500" s="2" t="s">
        <v>96</v>
      </c>
      <c r="C1500" s="2" t="s">
        <v>97</v>
      </c>
      <c r="D1500" s="2">
        <v>3</v>
      </c>
      <c r="E1500" s="2">
        <v>410</v>
      </c>
      <c r="F1500" s="2">
        <v>97</v>
      </c>
      <c r="G1500" s="2">
        <v>112001</v>
      </c>
      <c r="H1500" s="2">
        <v>8</v>
      </c>
      <c r="I1500" s="2" t="s">
        <v>78</v>
      </c>
      <c r="J1500" s="3">
        <v>0.236585365853658</v>
      </c>
      <c r="K1500" s="21">
        <v>1154.64948453608</v>
      </c>
      <c r="L1500" s="21">
        <v>14000.125</v>
      </c>
      <c r="M1500" s="21">
        <v>51.25</v>
      </c>
      <c r="N1500" s="2" t="s">
        <v>79</v>
      </c>
    </row>
    <row r="1501" s="2" customFormat="1" spans="1:14">
      <c r="A1501" s="20">
        <v>45807</v>
      </c>
      <c r="B1501" s="2" t="s">
        <v>96</v>
      </c>
      <c r="C1501" s="2" t="s">
        <v>97</v>
      </c>
      <c r="D1501" s="2">
        <v>3</v>
      </c>
      <c r="E1501" s="2">
        <v>439</v>
      </c>
      <c r="F1501" s="2">
        <v>101</v>
      </c>
      <c r="G1501" s="2">
        <v>145229</v>
      </c>
      <c r="H1501" s="2">
        <v>5</v>
      </c>
      <c r="I1501" s="2" t="s">
        <v>78</v>
      </c>
      <c r="J1501" s="3">
        <v>0.230068337129841</v>
      </c>
      <c r="K1501" s="21">
        <v>1437.91089108911</v>
      </c>
      <c r="L1501" s="21">
        <v>29045.8</v>
      </c>
      <c r="M1501" s="21">
        <v>87.8</v>
      </c>
      <c r="N1501" s="2" t="s">
        <v>79</v>
      </c>
    </row>
    <row r="1502" s="2" customFormat="1" spans="1:14">
      <c r="A1502" s="20">
        <v>45808</v>
      </c>
      <c r="B1502" s="2" t="s">
        <v>96</v>
      </c>
      <c r="C1502" s="2" t="s">
        <v>97</v>
      </c>
      <c r="D1502" s="2">
        <v>3</v>
      </c>
      <c r="E1502" s="2">
        <v>771</v>
      </c>
      <c r="F1502" s="2">
        <v>180</v>
      </c>
      <c r="G1502" s="2">
        <v>259596</v>
      </c>
      <c r="H1502" s="2">
        <v>5</v>
      </c>
      <c r="I1502" s="2" t="s">
        <v>81</v>
      </c>
      <c r="J1502" s="3">
        <v>0.233463035019455</v>
      </c>
      <c r="K1502" s="21">
        <v>1442.2</v>
      </c>
      <c r="L1502" s="21">
        <v>51919.2</v>
      </c>
      <c r="M1502" s="21">
        <v>154.2</v>
      </c>
      <c r="N1502" s="2" t="s">
        <v>80</v>
      </c>
    </row>
    <row r="1503" s="2" customFormat="1" spans="1:14">
      <c r="A1503" s="20">
        <v>45809</v>
      </c>
      <c r="B1503" s="2" t="s">
        <v>96</v>
      </c>
      <c r="C1503" s="2" t="s">
        <v>97</v>
      </c>
      <c r="D1503" s="2">
        <v>3</v>
      </c>
      <c r="E1503" s="2">
        <v>620</v>
      </c>
      <c r="F1503" s="2">
        <v>167</v>
      </c>
      <c r="G1503" s="2">
        <v>267125</v>
      </c>
      <c r="H1503" s="2">
        <v>9</v>
      </c>
      <c r="I1503" s="2" t="s">
        <v>78</v>
      </c>
      <c r="J1503" s="3">
        <v>0.269354838709677</v>
      </c>
      <c r="K1503" s="21">
        <v>1599.55089820359</v>
      </c>
      <c r="L1503" s="21">
        <v>29680.5555555556</v>
      </c>
      <c r="M1503" s="21">
        <v>68.8888888888889</v>
      </c>
      <c r="N1503" s="2" t="s">
        <v>80</v>
      </c>
    </row>
    <row r="1504" s="2" customFormat="1" spans="1:14">
      <c r="A1504" s="20">
        <v>45810</v>
      </c>
      <c r="B1504" s="2" t="s">
        <v>96</v>
      </c>
      <c r="C1504" s="2" t="s">
        <v>97</v>
      </c>
      <c r="D1504" s="2">
        <v>3</v>
      </c>
      <c r="E1504" s="2">
        <v>446</v>
      </c>
      <c r="F1504" s="2">
        <v>105</v>
      </c>
      <c r="G1504" s="2">
        <v>175925</v>
      </c>
      <c r="H1504" s="2">
        <v>4</v>
      </c>
      <c r="I1504" s="2" t="s">
        <v>81</v>
      </c>
      <c r="J1504" s="3">
        <v>0.23542600896861</v>
      </c>
      <c r="K1504" s="21">
        <v>1675.47619047619</v>
      </c>
      <c r="L1504" s="21">
        <v>43981.25</v>
      </c>
      <c r="M1504" s="21">
        <v>111.5</v>
      </c>
      <c r="N1504" s="2" t="s">
        <v>79</v>
      </c>
    </row>
    <row r="1505" s="2" customFormat="1" spans="1:14">
      <c r="A1505" s="20">
        <v>45811</v>
      </c>
      <c r="B1505" s="2" t="s">
        <v>96</v>
      </c>
      <c r="C1505" s="2" t="s">
        <v>97</v>
      </c>
      <c r="D1505" s="2">
        <v>3</v>
      </c>
      <c r="E1505" s="2">
        <v>398</v>
      </c>
      <c r="F1505" s="2">
        <v>103</v>
      </c>
      <c r="G1505" s="2">
        <v>113688</v>
      </c>
      <c r="H1505" s="2">
        <v>8</v>
      </c>
      <c r="I1505" s="2" t="s">
        <v>78</v>
      </c>
      <c r="J1505" s="3">
        <v>0.258793969849246</v>
      </c>
      <c r="K1505" s="21">
        <v>1103.76699029126</v>
      </c>
      <c r="L1505" s="21">
        <v>14211</v>
      </c>
      <c r="M1505" s="21">
        <v>49.75</v>
      </c>
      <c r="N1505" s="2" t="s">
        <v>79</v>
      </c>
    </row>
    <row r="1506" s="2" customFormat="1" spans="1:14">
      <c r="A1506" s="20">
        <v>45812</v>
      </c>
      <c r="B1506" s="2" t="s">
        <v>96</v>
      </c>
      <c r="C1506" s="2" t="s">
        <v>97</v>
      </c>
      <c r="D1506" s="2">
        <v>3</v>
      </c>
      <c r="E1506" s="2">
        <v>359</v>
      </c>
      <c r="F1506" s="2">
        <v>87</v>
      </c>
      <c r="G1506" s="2">
        <v>102367</v>
      </c>
      <c r="H1506" s="2">
        <v>4</v>
      </c>
      <c r="I1506" s="2" t="s">
        <v>78</v>
      </c>
      <c r="J1506" s="3">
        <v>0.242339832869081</v>
      </c>
      <c r="K1506" s="21">
        <v>1176.63218390805</v>
      </c>
      <c r="L1506" s="21">
        <v>25591.75</v>
      </c>
      <c r="M1506" s="21">
        <v>89.75</v>
      </c>
      <c r="N1506" s="2" t="s">
        <v>79</v>
      </c>
    </row>
    <row r="1507" s="2" customFormat="1" spans="1:14">
      <c r="A1507" s="20">
        <v>45813</v>
      </c>
      <c r="B1507" s="2" t="s">
        <v>96</v>
      </c>
      <c r="C1507" s="2" t="s">
        <v>97</v>
      </c>
      <c r="D1507" s="2">
        <v>3</v>
      </c>
      <c r="E1507" s="2">
        <v>482</v>
      </c>
      <c r="F1507" s="2">
        <v>109</v>
      </c>
      <c r="G1507" s="2">
        <v>161649</v>
      </c>
      <c r="H1507" s="2">
        <v>7</v>
      </c>
      <c r="I1507" s="2" t="s">
        <v>78</v>
      </c>
      <c r="J1507" s="3">
        <v>0.226141078838174</v>
      </c>
      <c r="K1507" s="21">
        <v>1483.01834862385</v>
      </c>
      <c r="L1507" s="21">
        <v>23092.7142857143</v>
      </c>
      <c r="M1507" s="21">
        <v>68.8571428571429</v>
      </c>
      <c r="N1507" s="2" t="s">
        <v>79</v>
      </c>
    </row>
    <row r="1508" s="2" customFormat="1" spans="1:14">
      <c r="A1508" s="20">
        <v>45814</v>
      </c>
      <c r="B1508" s="2" t="s">
        <v>96</v>
      </c>
      <c r="C1508" s="2" t="s">
        <v>97</v>
      </c>
      <c r="D1508" s="2">
        <v>3</v>
      </c>
      <c r="E1508" s="2">
        <v>437</v>
      </c>
      <c r="F1508" s="2">
        <v>109</v>
      </c>
      <c r="G1508" s="2">
        <v>183886</v>
      </c>
      <c r="H1508" s="2">
        <v>9</v>
      </c>
      <c r="I1508" s="2" t="s">
        <v>78</v>
      </c>
      <c r="J1508" s="3">
        <v>0.249427917620137</v>
      </c>
      <c r="K1508" s="21">
        <v>1687.02752293578</v>
      </c>
      <c r="L1508" s="21">
        <v>20431.7777777778</v>
      </c>
      <c r="M1508" s="21">
        <v>48.5555555555556</v>
      </c>
      <c r="N1508" s="2" t="s">
        <v>79</v>
      </c>
    </row>
    <row r="1509" s="2" customFormat="1" spans="1:14">
      <c r="A1509" s="20">
        <v>45815</v>
      </c>
      <c r="B1509" s="2" t="s">
        <v>96</v>
      </c>
      <c r="C1509" s="2" t="s">
        <v>97</v>
      </c>
      <c r="D1509" s="2">
        <v>3</v>
      </c>
      <c r="E1509" s="2">
        <v>711</v>
      </c>
      <c r="F1509" s="2">
        <v>179</v>
      </c>
      <c r="G1509" s="2">
        <v>292450</v>
      </c>
      <c r="H1509" s="2">
        <v>5</v>
      </c>
      <c r="I1509" s="2" t="s">
        <v>78</v>
      </c>
      <c r="J1509" s="3">
        <v>0.251758087201125</v>
      </c>
      <c r="K1509" s="21">
        <v>1633.79888268156</v>
      </c>
      <c r="L1509" s="21">
        <v>58490</v>
      </c>
      <c r="M1509" s="21">
        <v>142.2</v>
      </c>
      <c r="N1509" s="2" t="s">
        <v>80</v>
      </c>
    </row>
    <row r="1510" s="2" customFormat="1" spans="1:14">
      <c r="A1510" s="20">
        <v>45816</v>
      </c>
      <c r="B1510" s="2" t="s">
        <v>96</v>
      </c>
      <c r="C1510" s="2" t="s">
        <v>97</v>
      </c>
      <c r="D1510" s="2">
        <v>3</v>
      </c>
      <c r="E1510" s="2">
        <v>562</v>
      </c>
      <c r="F1510" s="2">
        <v>131</v>
      </c>
      <c r="G1510" s="2">
        <v>199929</v>
      </c>
      <c r="H1510" s="2">
        <v>9</v>
      </c>
      <c r="I1510" s="2" t="s">
        <v>78</v>
      </c>
      <c r="J1510" s="3">
        <v>0.233096085409253</v>
      </c>
      <c r="K1510" s="21">
        <v>1526.17557251908</v>
      </c>
      <c r="L1510" s="21">
        <v>22214.3333333333</v>
      </c>
      <c r="M1510" s="21">
        <v>62.4444444444444</v>
      </c>
      <c r="N1510" s="2" t="s">
        <v>80</v>
      </c>
    </row>
    <row r="1511" s="2" customFormat="1" spans="1:14">
      <c r="A1511" s="20">
        <v>45817</v>
      </c>
      <c r="B1511" s="2" t="s">
        <v>96</v>
      </c>
      <c r="C1511" s="2" t="s">
        <v>97</v>
      </c>
      <c r="D1511" s="2">
        <v>3</v>
      </c>
      <c r="E1511" s="2">
        <v>432</v>
      </c>
      <c r="F1511" s="2">
        <v>107</v>
      </c>
      <c r="G1511" s="2">
        <v>163876</v>
      </c>
      <c r="H1511" s="2">
        <v>5</v>
      </c>
      <c r="I1511" s="2" t="s">
        <v>78</v>
      </c>
      <c r="J1511" s="3">
        <v>0.247685185185185</v>
      </c>
      <c r="K1511" s="21">
        <v>1531.55140186916</v>
      </c>
      <c r="L1511" s="21">
        <v>32775.2</v>
      </c>
      <c r="M1511" s="21">
        <v>86.4</v>
      </c>
      <c r="N1511" s="2" t="s">
        <v>79</v>
      </c>
    </row>
    <row r="1512" s="2" customFormat="1" spans="1:14">
      <c r="A1512" s="20">
        <v>45818</v>
      </c>
      <c r="B1512" s="2" t="s">
        <v>96</v>
      </c>
      <c r="C1512" s="2" t="s">
        <v>97</v>
      </c>
      <c r="D1512" s="2">
        <v>3</v>
      </c>
      <c r="E1512" s="2">
        <v>389</v>
      </c>
      <c r="F1512" s="2">
        <v>85</v>
      </c>
      <c r="G1512" s="2">
        <v>137200</v>
      </c>
      <c r="H1512" s="2">
        <v>6</v>
      </c>
      <c r="I1512" s="2" t="s">
        <v>78</v>
      </c>
      <c r="J1512" s="3">
        <v>0.218508997429306</v>
      </c>
      <c r="K1512" s="21">
        <v>1614.11764705882</v>
      </c>
      <c r="L1512" s="21">
        <v>22866.6666666667</v>
      </c>
      <c r="M1512" s="21">
        <v>64.8333333333333</v>
      </c>
      <c r="N1512" s="2" t="s">
        <v>79</v>
      </c>
    </row>
    <row r="1513" s="2" customFormat="1" spans="1:14">
      <c r="A1513" s="20">
        <v>45819</v>
      </c>
      <c r="B1513" s="2" t="s">
        <v>96</v>
      </c>
      <c r="C1513" s="2" t="s">
        <v>97</v>
      </c>
      <c r="D1513" s="2">
        <v>3</v>
      </c>
      <c r="E1513" s="2">
        <v>500</v>
      </c>
      <c r="F1513" s="2">
        <v>114</v>
      </c>
      <c r="G1513" s="2">
        <v>189083</v>
      </c>
      <c r="H1513" s="2">
        <v>6</v>
      </c>
      <c r="I1513" s="2" t="s">
        <v>78</v>
      </c>
      <c r="J1513" s="3">
        <v>0.228</v>
      </c>
      <c r="K1513" s="21">
        <v>1658.62280701754</v>
      </c>
      <c r="L1513" s="21">
        <v>31513.8333333333</v>
      </c>
      <c r="M1513" s="21">
        <v>83.3333333333333</v>
      </c>
      <c r="N1513" s="2" t="s">
        <v>79</v>
      </c>
    </row>
    <row r="1514" s="2" customFormat="1" spans="1:14">
      <c r="A1514" s="20">
        <v>45820</v>
      </c>
      <c r="B1514" s="2" t="s">
        <v>96</v>
      </c>
      <c r="C1514" s="2" t="s">
        <v>97</v>
      </c>
      <c r="D1514" s="2">
        <v>3</v>
      </c>
      <c r="E1514" s="2">
        <v>424</v>
      </c>
      <c r="F1514" s="2">
        <v>94</v>
      </c>
      <c r="G1514" s="2">
        <v>144953</v>
      </c>
      <c r="H1514" s="2">
        <v>5</v>
      </c>
      <c r="I1514" s="2" t="s">
        <v>78</v>
      </c>
      <c r="J1514" s="3">
        <v>0.221698113207547</v>
      </c>
      <c r="K1514" s="21">
        <v>1542.05319148936</v>
      </c>
      <c r="L1514" s="21">
        <v>28990.6</v>
      </c>
      <c r="M1514" s="21">
        <v>84.8</v>
      </c>
      <c r="N1514" s="2" t="s">
        <v>79</v>
      </c>
    </row>
    <row r="1515" s="2" customFormat="1" spans="1:14">
      <c r="A1515" s="20">
        <v>45821</v>
      </c>
      <c r="B1515" s="2" t="s">
        <v>96</v>
      </c>
      <c r="C1515" s="2" t="s">
        <v>97</v>
      </c>
      <c r="D1515" s="2">
        <v>3</v>
      </c>
      <c r="E1515" s="2">
        <v>345</v>
      </c>
      <c r="F1515" s="2">
        <v>78</v>
      </c>
      <c r="G1515" s="2">
        <v>99559</v>
      </c>
      <c r="H1515" s="2">
        <v>9</v>
      </c>
      <c r="I1515" s="2" t="s">
        <v>78</v>
      </c>
      <c r="J1515" s="3">
        <v>0.226086956521739</v>
      </c>
      <c r="K1515" s="21">
        <v>1276.39743589744</v>
      </c>
      <c r="L1515" s="21">
        <v>11062.1111111111</v>
      </c>
      <c r="M1515" s="21">
        <v>38.3333333333333</v>
      </c>
      <c r="N1515" s="2" t="s">
        <v>79</v>
      </c>
    </row>
    <row r="1516" s="2" customFormat="1" spans="1:14">
      <c r="A1516" s="20">
        <v>45822</v>
      </c>
      <c r="B1516" s="2" t="s">
        <v>96</v>
      </c>
      <c r="C1516" s="2" t="s">
        <v>97</v>
      </c>
      <c r="D1516" s="2">
        <v>3</v>
      </c>
      <c r="E1516" s="2">
        <v>576</v>
      </c>
      <c r="F1516" s="2">
        <v>126</v>
      </c>
      <c r="G1516" s="2">
        <v>170350</v>
      </c>
      <c r="H1516" s="2">
        <v>5</v>
      </c>
      <c r="I1516" s="2" t="s">
        <v>78</v>
      </c>
      <c r="J1516" s="3">
        <v>0.21875</v>
      </c>
      <c r="K1516" s="21">
        <v>1351.98412698413</v>
      </c>
      <c r="L1516" s="21">
        <v>34070</v>
      </c>
      <c r="M1516" s="21">
        <v>115.2</v>
      </c>
      <c r="N1516" s="2" t="s">
        <v>80</v>
      </c>
    </row>
    <row r="1517" s="2" customFormat="1" spans="1:14">
      <c r="A1517" s="20">
        <v>45823</v>
      </c>
      <c r="B1517" s="2" t="s">
        <v>96</v>
      </c>
      <c r="C1517" s="2" t="s">
        <v>97</v>
      </c>
      <c r="D1517" s="2">
        <v>3</v>
      </c>
      <c r="E1517" s="2">
        <v>490</v>
      </c>
      <c r="F1517" s="2">
        <v>112</v>
      </c>
      <c r="G1517" s="2">
        <v>153841</v>
      </c>
      <c r="H1517" s="2">
        <v>7</v>
      </c>
      <c r="I1517" s="2" t="s">
        <v>78</v>
      </c>
      <c r="J1517" s="3">
        <v>0.228571428571429</v>
      </c>
      <c r="K1517" s="21">
        <v>1373.58035714286</v>
      </c>
      <c r="L1517" s="21">
        <v>21977.2857142857</v>
      </c>
      <c r="M1517" s="21">
        <v>70</v>
      </c>
      <c r="N1517" s="2" t="s">
        <v>80</v>
      </c>
    </row>
    <row r="1518" s="2" customFormat="1" spans="1:14">
      <c r="A1518" s="20">
        <v>45824</v>
      </c>
      <c r="B1518" s="2" t="s">
        <v>96</v>
      </c>
      <c r="C1518" s="2" t="s">
        <v>97</v>
      </c>
      <c r="D1518" s="2">
        <v>3</v>
      </c>
      <c r="E1518" s="2">
        <v>451</v>
      </c>
      <c r="F1518" s="2">
        <v>105</v>
      </c>
      <c r="G1518" s="2">
        <v>135097</v>
      </c>
      <c r="H1518" s="2">
        <v>8</v>
      </c>
      <c r="I1518" s="2" t="s">
        <v>78</v>
      </c>
      <c r="J1518" s="3">
        <v>0.232815964523282</v>
      </c>
      <c r="K1518" s="21">
        <v>1286.6380952381</v>
      </c>
      <c r="L1518" s="21">
        <v>16887.125</v>
      </c>
      <c r="M1518" s="21">
        <v>56.375</v>
      </c>
      <c r="N1518" s="2" t="s">
        <v>79</v>
      </c>
    </row>
    <row r="1519" s="2" customFormat="1" spans="1:14">
      <c r="A1519" s="20">
        <v>45825</v>
      </c>
      <c r="B1519" s="2" t="s">
        <v>96</v>
      </c>
      <c r="C1519" s="2" t="s">
        <v>97</v>
      </c>
      <c r="D1519" s="2">
        <v>3</v>
      </c>
      <c r="E1519" s="2">
        <v>534</v>
      </c>
      <c r="F1519" s="2">
        <v>126</v>
      </c>
      <c r="G1519" s="2">
        <v>174722</v>
      </c>
      <c r="H1519" s="2">
        <v>8</v>
      </c>
      <c r="I1519" s="2" t="s">
        <v>78</v>
      </c>
      <c r="J1519" s="3">
        <v>0.235955056179775</v>
      </c>
      <c r="K1519" s="21">
        <v>1386.68253968254</v>
      </c>
      <c r="L1519" s="21">
        <v>21840.25</v>
      </c>
      <c r="M1519" s="21">
        <v>66.75</v>
      </c>
      <c r="N1519" s="2" t="s">
        <v>79</v>
      </c>
    </row>
    <row r="1520" s="2" customFormat="1" spans="1:14">
      <c r="A1520" s="20">
        <v>45826</v>
      </c>
      <c r="B1520" s="2" t="s">
        <v>96</v>
      </c>
      <c r="C1520" s="2" t="s">
        <v>97</v>
      </c>
      <c r="D1520" s="2">
        <v>3</v>
      </c>
      <c r="E1520" s="2">
        <v>460</v>
      </c>
      <c r="F1520" s="2">
        <v>116</v>
      </c>
      <c r="G1520" s="2">
        <v>193528</v>
      </c>
      <c r="H1520" s="2">
        <v>9</v>
      </c>
      <c r="I1520" s="2" t="s">
        <v>78</v>
      </c>
      <c r="J1520" s="3">
        <v>0.252173913043478</v>
      </c>
      <c r="K1520" s="21">
        <v>1668.34482758621</v>
      </c>
      <c r="L1520" s="21">
        <v>21503.1111111111</v>
      </c>
      <c r="M1520" s="21">
        <v>51.1111111111111</v>
      </c>
      <c r="N1520" s="2" t="s">
        <v>79</v>
      </c>
    </row>
    <row r="1521" s="2" customFormat="1" spans="1:14">
      <c r="A1521" s="20">
        <v>45827</v>
      </c>
      <c r="B1521" s="2" t="s">
        <v>96</v>
      </c>
      <c r="C1521" s="2" t="s">
        <v>97</v>
      </c>
      <c r="D1521" s="2">
        <v>3</v>
      </c>
      <c r="E1521" s="2">
        <v>505</v>
      </c>
      <c r="F1521" s="2">
        <v>109</v>
      </c>
      <c r="G1521" s="2">
        <v>151427</v>
      </c>
      <c r="H1521" s="2">
        <v>6</v>
      </c>
      <c r="I1521" s="2" t="s">
        <v>81</v>
      </c>
      <c r="J1521" s="3">
        <v>0.215841584158416</v>
      </c>
      <c r="K1521" s="21">
        <v>1389.23853211009</v>
      </c>
      <c r="L1521" s="21">
        <v>25237.8333333333</v>
      </c>
      <c r="M1521" s="21">
        <v>84.1666666666667</v>
      </c>
      <c r="N1521" s="2" t="s">
        <v>79</v>
      </c>
    </row>
    <row r="1522" s="2" customFormat="1" spans="1:14">
      <c r="A1522" s="20">
        <v>45828</v>
      </c>
      <c r="B1522" s="2" t="s">
        <v>96</v>
      </c>
      <c r="C1522" s="2" t="s">
        <v>97</v>
      </c>
      <c r="D1522" s="2">
        <v>3</v>
      </c>
      <c r="E1522" s="2">
        <v>410</v>
      </c>
      <c r="F1522" s="2">
        <v>101</v>
      </c>
      <c r="G1522" s="2">
        <v>151446</v>
      </c>
      <c r="H1522" s="2">
        <v>9</v>
      </c>
      <c r="I1522" s="2" t="s">
        <v>81</v>
      </c>
      <c r="J1522" s="3">
        <v>0.246341463414634</v>
      </c>
      <c r="K1522" s="21">
        <v>1499.46534653465</v>
      </c>
      <c r="L1522" s="21">
        <v>16827.3333333333</v>
      </c>
      <c r="M1522" s="21">
        <v>45.5555555555556</v>
      </c>
      <c r="N1522" s="2" t="s">
        <v>79</v>
      </c>
    </row>
    <row r="1523" s="2" customFormat="1" spans="1:14">
      <c r="A1523" s="20">
        <v>45829</v>
      </c>
      <c r="B1523" s="2" t="s">
        <v>96</v>
      </c>
      <c r="C1523" s="2" t="s">
        <v>97</v>
      </c>
      <c r="D1523" s="2">
        <v>3</v>
      </c>
      <c r="E1523" s="2">
        <v>663</v>
      </c>
      <c r="F1523" s="2">
        <v>154</v>
      </c>
      <c r="G1523" s="2">
        <v>250021</v>
      </c>
      <c r="H1523" s="2">
        <v>6</v>
      </c>
      <c r="I1523" s="2" t="s">
        <v>78</v>
      </c>
      <c r="J1523" s="3">
        <v>0.232277526395173</v>
      </c>
      <c r="K1523" s="21">
        <v>1623.51298701299</v>
      </c>
      <c r="L1523" s="21">
        <v>41670.1666666667</v>
      </c>
      <c r="M1523" s="21">
        <v>110.5</v>
      </c>
      <c r="N1523" s="2" t="s">
        <v>80</v>
      </c>
    </row>
    <row r="1524" s="2" customFormat="1" spans="1:14">
      <c r="A1524" s="20">
        <v>45830</v>
      </c>
      <c r="B1524" s="2" t="s">
        <v>96</v>
      </c>
      <c r="C1524" s="2" t="s">
        <v>97</v>
      </c>
      <c r="D1524" s="2">
        <v>3</v>
      </c>
      <c r="E1524" s="2">
        <v>654</v>
      </c>
      <c r="F1524" s="2">
        <v>166</v>
      </c>
      <c r="G1524" s="2">
        <v>236921</v>
      </c>
      <c r="H1524" s="2">
        <v>6</v>
      </c>
      <c r="I1524" s="2" t="s">
        <v>78</v>
      </c>
      <c r="J1524" s="3">
        <v>0.253822629969419</v>
      </c>
      <c r="K1524" s="21">
        <v>1427.23493975904</v>
      </c>
      <c r="L1524" s="21">
        <v>39486.8333333333</v>
      </c>
      <c r="M1524" s="21">
        <v>109</v>
      </c>
      <c r="N1524" s="2" t="s">
        <v>80</v>
      </c>
    </row>
    <row r="1525" s="2" customFormat="1" spans="1:14">
      <c r="A1525" s="20">
        <v>45831</v>
      </c>
      <c r="B1525" s="2" t="s">
        <v>96</v>
      </c>
      <c r="C1525" s="2" t="s">
        <v>97</v>
      </c>
      <c r="D1525" s="2">
        <v>3</v>
      </c>
      <c r="E1525" s="2">
        <v>371</v>
      </c>
      <c r="F1525" s="2">
        <v>98</v>
      </c>
      <c r="G1525" s="2">
        <v>153551</v>
      </c>
      <c r="H1525" s="2">
        <v>8</v>
      </c>
      <c r="I1525" s="2" t="s">
        <v>81</v>
      </c>
      <c r="J1525" s="3">
        <v>0.264150943396226</v>
      </c>
      <c r="K1525" s="21">
        <v>1566.84693877551</v>
      </c>
      <c r="L1525" s="21">
        <v>19193.875</v>
      </c>
      <c r="M1525" s="21">
        <v>46.375</v>
      </c>
      <c r="N1525" s="2" t="s">
        <v>79</v>
      </c>
    </row>
    <row r="1526" s="2" customFormat="1" spans="1:14">
      <c r="A1526" s="20">
        <v>45832</v>
      </c>
      <c r="B1526" s="2" t="s">
        <v>96</v>
      </c>
      <c r="C1526" s="2" t="s">
        <v>97</v>
      </c>
      <c r="D1526" s="2">
        <v>3</v>
      </c>
      <c r="E1526" s="2">
        <v>353</v>
      </c>
      <c r="F1526" s="2">
        <v>85</v>
      </c>
      <c r="G1526" s="2">
        <v>104614</v>
      </c>
      <c r="H1526" s="2">
        <v>8</v>
      </c>
      <c r="I1526" s="2" t="s">
        <v>78</v>
      </c>
      <c r="J1526" s="3">
        <v>0.240793201133145</v>
      </c>
      <c r="K1526" s="21">
        <v>1230.75294117647</v>
      </c>
      <c r="L1526" s="21">
        <v>13076.75</v>
      </c>
      <c r="M1526" s="21">
        <v>44.125</v>
      </c>
      <c r="N1526" s="2" t="s">
        <v>79</v>
      </c>
    </row>
    <row r="1527" s="2" customFormat="1" spans="1:14">
      <c r="A1527" s="20">
        <v>45833</v>
      </c>
      <c r="B1527" s="2" t="s">
        <v>96</v>
      </c>
      <c r="C1527" s="2" t="s">
        <v>97</v>
      </c>
      <c r="D1527" s="2">
        <v>3</v>
      </c>
      <c r="E1527" s="2">
        <v>446</v>
      </c>
      <c r="F1527" s="2">
        <v>106</v>
      </c>
      <c r="G1527" s="2">
        <v>161780</v>
      </c>
      <c r="H1527" s="2">
        <v>6</v>
      </c>
      <c r="I1527" s="2" t="s">
        <v>78</v>
      </c>
      <c r="J1527" s="3">
        <v>0.237668161434978</v>
      </c>
      <c r="K1527" s="21">
        <v>1526.22641509434</v>
      </c>
      <c r="L1527" s="21">
        <v>26963.3333333333</v>
      </c>
      <c r="M1527" s="21">
        <v>74.3333333333333</v>
      </c>
      <c r="N1527" s="2" t="s">
        <v>79</v>
      </c>
    </row>
    <row r="1528" s="2" customFormat="1" spans="1:14">
      <c r="A1528" s="20">
        <v>45834</v>
      </c>
      <c r="B1528" s="2" t="s">
        <v>96</v>
      </c>
      <c r="C1528" s="2" t="s">
        <v>97</v>
      </c>
      <c r="D1528" s="2">
        <v>3</v>
      </c>
      <c r="E1528" s="2">
        <v>364</v>
      </c>
      <c r="F1528" s="2">
        <v>88</v>
      </c>
      <c r="G1528" s="2">
        <v>136670</v>
      </c>
      <c r="H1528" s="2">
        <v>7</v>
      </c>
      <c r="I1528" s="2" t="s">
        <v>81</v>
      </c>
      <c r="J1528" s="3">
        <v>0.241758241758242</v>
      </c>
      <c r="K1528" s="21">
        <v>1553.06818181818</v>
      </c>
      <c r="L1528" s="21">
        <v>19524.2857142857</v>
      </c>
      <c r="M1528" s="21">
        <v>52</v>
      </c>
      <c r="N1528" s="2" t="s">
        <v>79</v>
      </c>
    </row>
    <row r="1529" s="2" customFormat="1" spans="1:14">
      <c r="A1529" s="20">
        <v>45835</v>
      </c>
      <c r="B1529" s="2" t="s">
        <v>96</v>
      </c>
      <c r="C1529" s="2" t="s">
        <v>97</v>
      </c>
      <c r="D1529" s="2">
        <v>3</v>
      </c>
      <c r="E1529" s="2">
        <v>392</v>
      </c>
      <c r="F1529" s="2">
        <v>85</v>
      </c>
      <c r="G1529" s="2">
        <v>121408</v>
      </c>
      <c r="H1529" s="2">
        <v>5</v>
      </c>
      <c r="I1529" s="2" t="s">
        <v>78</v>
      </c>
      <c r="J1529" s="3">
        <v>0.216836734693877</v>
      </c>
      <c r="K1529" s="21">
        <v>1428.32941176471</v>
      </c>
      <c r="L1529" s="21">
        <v>24281.6</v>
      </c>
      <c r="M1529" s="21">
        <v>78.4</v>
      </c>
      <c r="N1529" s="2" t="s">
        <v>79</v>
      </c>
    </row>
    <row r="1530" s="2" customFormat="1" spans="1:14">
      <c r="A1530" s="20">
        <v>45836</v>
      </c>
      <c r="B1530" s="2" t="s">
        <v>96</v>
      </c>
      <c r="C1530" s="2" t="s">
        <v>97</v>
      </c>
      <c r="D1530" s="2">
        <v>3</v>
      </c>
      <c r="E1530" s="2">
        <v>713</v>
      </c>
      <c r="F1530" s="2">
        <v>157</v>
      </c>
      <c r="G1530" s="2">
        <v>182477</v>
      </c>
      <c r="H1530" s="2">
        <v>6</v>
      </c>
      <c r="I1530" s="2" t="s">
        <v>78</v>
      </c>
      <c r="J1530" s="3">
        <v>0.220196353436185</v>
      </c>
      <c r="K1530" s="21">
        <v>1162.27388535032</v>
      </c>
      <c r="L1530" s="21">
        <v>30412.8333333333</v>
      </c>
      <c r="M1530" s="21">
        <v>118.833333333333</v>
      </c>
      <c r="N1530" s="2" t="s">
        <v>80</v>
      </c>
    </row>
    <row r="1531" s="2" customFormat="1" spans="1:14">
      <c r="A1531" s="20">
        <v>45837</v>
      </c>
      <c r="B1531" s="2" t="s">
        <v>96</v>
      </c>
      <c r="C1531" s="2" t="s">
        <v>97</v>
      </c>
      <c r="D1531" s="2">
        <v>3</v>
      </c>
      <c r="E1531" s="2">
        <v>551</v>
      </c>
      <c r="F1531" s="2">
        <v>138</v>
      </c>
      <c r="G1531" s="2">
        <v>225849</v>
      </c>
      <c r="H1531" s="2">
        <v>8</v>
      </c>
      <c r="I1531" s="2" t="s">
        <v>78</v>
      </c>
      <c r="J1531" s="3">
        <v>0.250453720508167</v>
      </c>
      <c r="K1531" s="21">
        <v>1636.58695652174</v>
      </c>
      <c r="L1531" s="21">
        <v>28231.125</v>
      </c>
      <c r="M1531" s="21">
        <v>68.875</v>
      </c>
      <c r="N1531" s="2" t="s">
        <v>80</v>
      </c>
    </row>
    <row r="1532" s="2" customFormat="1" spans="1:14">
      <c r="A1532" s="20">
        <v>45838</v>
      </c>
      <c r="B1532" s="2" t="s">
        <v>96</v>
      </c>
      <c r="C1532" s="2" t="s">
        <v>97</v>
      </c>
      <c r="D1532" s="2">
        <v>3</v>
      </c>
      <c r="E1532" s="2">
        <v>437</v>
      </c>
      <c r="F1532" s="2">
        <v>111</v>
      </c>
      <c r="G1532" s="2">
        <v>123503</v>
      </c>
      <c r="H1532" s="2">
        <v>7</v>
      </c>
      <c r="I1532" s="2" t="s">
        <v>81</v>
      </c>
      <c r="J1532" s="3">
        <v>0.254004576659039</v>
      </c>
      <c r="K1532" s="21">
        <v>1112.63963963964</v>
      </c>
      <c r="L1532" s="21">
        <v>17643.2857142857</v>
      </c>
      <c r="M1532" s="21">
        <v>62.4285714285714</v>
      </c>
      <c r="N1532" s="2" t="s">
        <v>79</v>
      </c>
    </row>
    <row r="1533" s="2" customFormat="1" spans="1:14">
      <c r="A1533" s="20">
        <v>45839</v>
      </c>
      <c r="B1533" s="2" t="s">
        <v>96</v>
      </c>
      <c r="C1533" s="2" t="s">
        <v>97</v>
      </c>
      <c r="D1533" s="2">
        <v>3</v>
      </c>
      <c r="E1533" s="2">
        <v>344</v>
      </c>
      <c r="F1533" s="2">
        <v>77</v>
      </c>
      <c r="G1533" s="2">
        <v>120183</v>
      </c>
      <c r="H1533" s="2">
        <v>8</v>
      </c>
      <c r="I1533" s="2" t="s">
        <v>78</v>
      </c>
      <c r="J1533" s="3">
        <v>0.223837209302326</v>
      </c>
      <c r="K1533" s="21">
        <v>1560.81818181818</v>
      </c>
      <c r="L1533" s="21">
        <v>15022.875</v>
      </c>
      <c r="M1533" s="21">
        <v>43</v>
      </c>
      <c r="N1533" s="2" t="s">
        <v>79</v>
      </c>
    </row>
    <row r="1534" s="2" customFormat="1" spans="1:14">
      <c r="A1534" s="20">
        <v>45840</v>
      </c>
      <c r="B1534" s="2" t="s">
        <v>96</v>
      </c>
      <c r="C1534" s="2" t="s">
        <v>97</v>
      </c>
      <c r="D1534" s="2">
        <v>3</v>
      </c>
      <c r="E1534" s="2">
        <v>450</v>
      </c>
      <c r="F1534" s="2">
        <v>107</v>
      </c>
      <c r="G1534" s="2">
        <v>176549</v>
      </c>
      <c r="H1534" s="2">
        <v>6</v>
      </c>
      <c r="I1534" s="2" t="s">
        <v>78</v>
      </c>
      <c r="J1534" s="3">
        <v>0.237777777777778</v>
      </c>
      <c r="K1534" s="21">
        <v>1649.99065420561</v>
      </c>
      <c r="L1534" s="21">
        <v>29424.8333333333</v>
      </c>
      <c r="M1534" s="21">
        <v>75</v>
      </c>
      <c r="N1534" s="2" t="s">
        <v>79</v>
      </c>
    </row>
    <row r="1535" s="2" customFormat="1" spans="1:14">
      <c r="A1535" s="20">
        <v>45841</v>
      </c>
      <c r="B1535" s="2" t="s">
        <v>96</v>
      </c>
      <c r="C1535" s="2" t="s">
        <v>97</v>
      </c>
      <c r="D1535" s="2">
        <v>3</v>
      </c>
      <c r="E1535" s="2">
        <v>383</v>
      </c>
      <c r="F1535" s="2">
        <v>96</v>
      </c>
      <c r="G1535" s="2">
        <v>110636</v>
      </c>
      <c r="H1535" s="2">
        <v>8</v>
      </c>
      <c r="I1535" s="2" t="s">
        <v>78</v>
      </c>
      <c r="J1535" s="3">
        <v>0.25065274151436</v>
      </c>
      <c r="K1535" s="21">
        <v>1152.45833333333</v>
      </c>
      <c r="L1535" s="21">
        <v>13829.5</v>
      </c>
      <c r="M1535" s="21">
        <v>47.875</v>
      </c>
      <c r="N1535" s="2" t="s">
        <v>79</v>
      </c>
    </row>
    <row r="1536" s="2" customFormat="1" spans="1:14">
      <c r="A1536" s="20">
        <v>45842</v>
      </c>
      <c r="B1536" s="2" t="s">
        <v>96</v>
      </c>
      <c r="C1536" s="2" t="s">
        <v>97</v>
      </c>
      <c r="D1536" s="2">
        <v>3</v>
      </c>
      <c r="E1536" s="2">
        <v>388</v>
      </c>
      <c r="F1536" s="2">
        <v>90</v>
      </c>
      <c r="G1536" s="2">
        <v>116660</v>
      </c>
      <c r="H1536" s="2">
        <v>8</v>
      </c>
      <c r="I1536" s="2" t="s">
        <v>78</v>
      </c>
      <c r="J1536" s="3">
        <v>0.231958762886598</v>
      </c>
      <c r="K1536" s="21">
        <v>1296.22222222222</v>
      </c>
      <c r="L1536" s="21">
        <v>14582.5</v>
      </c>
      <c r="M1536" s="21">
        <v>48.5</v>
      </c>
      <c r="N1536" s="2" t="s">
        <v>79</v>
      </c>
    </row>
    <row r="1537" s="2" customFormat="1" spans="1:14">
      <c r="A1537" s="20">
        <v>45843</v>
      </c>
      <c r="B1537" s="2" t="s">
        <v>96</v>
      </c>
      <c r="C1537" s="2" t="s">
        <v>97</v>
      </c>
      <c r="D1537" s="2">
        <v>3</v>
      </c>
      <c r="E1537" s="2">
        <v>591</v>
      </c>
      <c r="F1537" s="2">
        <v>136</v>
      </c>
      <c r="G1537" s="2">
        <v>204763</v>
      </c>
      <c r="H1537" s="2">
        <v>5</v>
      </c>
      <c r="I1537" s="2" t="s">
        <v>78</v>
      </c>
      <c r="J1537" s="3">
        <v>0.230118443316413</v>
      </c>
      <c r="K1537" s="21">
        <v>1505.61029411765</v>
      </c>
      <c r="L1537" s="21">
        <v>40952.6</v>
      </c>
      <c r="M1537" s="21">
        <v>118.2</v>
      </c>
      <c r="N1537" s="2" t="s">
        <v>80</v>
      </c>
    </row>
    <row r="1538" s="2" customFormat="1" spans="1:14">
      <c r="A1538" s="20">
        <v>45844</v>
      </c>
      <c r="B1538" s="2" t="s">
        <v>96</v>
      </c>
      <c r="C1538" s="2" t="s">
        <v>97</v>
      </c>
      <c r="D1538" s="2">
        <v>3</v>
      </c>
      <c r="E1538" s="2">
        <v>537</v>
      </c>
      <c r="F1538" s="2">
        <v>113</v>
      </c>
      <c r="G1538" s="2">
        <v>184181</v>
      </c>
      <c r="H1538" s="2">
        <v>5</v>
      </c>
      <c r="I1538" s="2" t="s">
        <v>78</v>
      </c>
      <c r="J1538" s="3">
        <v>0.210428305400372</v>
      </c>
      <c r="K1538" s="21">
        <v>1629.9203539823</v>
      </c>
      <c r="L1538" s="21">
        <v>36836.2</v>
      </c>
      <c r="M1538" s="21">
        <v>107.4</v>
      </c>
      <c r="N1538" s="2" t="s">
        <v>80</v>
      </c>
    </row>
    <row r="1539" s="2" customFormat="1" spans="1:14">
      <c r="A1539" s="20">
        <v>45845</v>
      </c>
      <c r="B1539" s="2" t="s">
        <v>96</v>
      </c>
      <c r="C1539" s="2" t="s">
        <v>97</v>
      </c>
      <c r="D1539" s="2">
        <v>3</v>
      </c>
      <c r="E1539" s="2">
        <v>442</v>
      </c>
      <c r="F1539" s="2">
        <v>111</v>
      </c>
      <c r="G1539" s="2">
        <v>146757</v>
      </c>
      <c r="H1539" s="2">
        <v>7</v>
      </c>
      <c r="I1539" s="2" t="s">
        <v>78</v>
      </c>
      <c r="J1539" s="3">
        <v>0.251131221719457</v>
      </c>
      <c r="K1539" s="21">
        <v>1322.13513513513</v>
      </c>
      <c r="L1539" s="21">
        <v>20965.2857142857</v>
      </c>
      <c r="M1539" s="21">
        <v>63.1428571428572</v>
      </c>
      <c r="N1539" s="2" t="s">
        <v>79</v>
      </c>
    </row>
    <row r="1540" s="2" customFormat="1" spans="1:14">
      <c r="A1540" s="20">
        <v>45846</v>
      </c>
      <c r="B1540" s="2" t="s">
        <v>96</v>
      </c>
      <c r="C1540" s="2" t="s">
        <v>97</v>
      </c>
      <c r="D1540" s="2">
        <v>3</v>
      </c>
      <c r="E1540" s="2">
        <v>413</v>
      </c>
      <c r="F1540" s="2">
        <v>105</v>
      </c>
      <c r="G1540" s="2">
        <v>144580</v>
      </c>
      <c r="H1540" s="2">
        <v>9</v>
      </c>
      <c r="I1540" s="2" t="s">
        <v>78</v>
      </c>
      <c r="J1540" s="3">
        <v>0.254237288135593</v>
      </c>
      <c r="K1540" s="21">
        <v>1376.95238095238</v>
      </c>
      <c r="L1540" s="21">
        <v>16064.4444444445</v>
      </c>
      <c r="M1540" s="21">
        <v>45.8888888888889</v>
      </c>
      <c r="N1540" s="2" t="s">
        <v>79</v>
      </c>
    </row>
    <row r="1541" s="2" customFormat="1" spans="1:14">
      <c r="A1541" s="20">
        <v>45847</v>
      </c>
      <c r="B1541" s="2" t="s">
        <v>96</v>
      </c>
      <c r="C1541" s="2" t="s">
        <v>97</v>
      </c>
      <c r="D1541" s="2">
        <v>3</v>
      </c>
      <c r="E1541" s="2">
        <v>438</v>
      </c>
      <c r="F1541" s="2">
        <v>106</v>
      </c>
      <c r="G1541" s="2">
        <v>150038</v>
      </c>
      <c r="H1541" s="2">
        <v>6</v>
      </c>
      <c r="I1541" s="2" t="s">
        <v>78</v>
      </c>
      <c r="J1541" s="3">
        <v>0.242009132420091</v>
      </c>
      <c r="K1541" s="21">
        <v>1415.45283018868</v>
      </c>
      <c r="L1541" s="21">
        <v>25006.3333333333</v>
      </c>
      <c r="M1541" s="21">
        <v>73</v>
      </c>
      <c r="N1541" s="2" t="s">
        <v>79</v>
      </c>
    </row>
    <row r="1542" s="2" customFormat="1" spans="1:14">
      <c r="A1542" s="20">
        <v>45848</v>
      </c>
      <c r="B1542" s="2" t="s">
        <v>96</v>
      </c>
      <c r="C1542" s="2" t="s">
        <v>97</v>
      </c>
      <c r="D1542" s="2">
        <v>3</v>
      </c>
      <c r="E1542" s="2">
        <v>471</v>
      </c>
      <c r="F1542" s="2">
        <v>102</v>
      </c>
      <c r="G1542" s="2">
        <v>132724</v>
      </c>
      <c r="H1542" s="2">
        <v>7</v>
      </c>
      <c r="I1542" s="2" t="s">
        <v>78</v>
      </c>
      <c r="J1542" s="3">
        <v>0.21656050955414</v>
      </c>
      <c r="K1542" s="21">
        <v>1301.21568627451</v>
      </c>
      <c r="L1542" s="21">
        <v>18960.5714285714</v>
      </c>
      <c r="M1542" s="21">
        <v>67.2857142857143</v>
      </c>
      <c r="N1542" s="2" t="s">
        <v>79</v>
      </c>
    </row>
    <row r="1543" s="2" customFormat="1" spans="1:14">
      <c r="A1543" s="20">
        <v>45849</v>
      </c>
      <c r="B1543" s="2" t="s">
        <v>96</v>
      </c>
      <c r="C1543" s="2" t="s">
        <v>97</v>
      </c>
      <c r="D1543" s="2">
        <v>3</v>
      </c>
      <c r="E1543" s="2">
        <v>439</v>
      </c>
      <c r="F1543" s="2">
        <v>114</v>
      </c>
      <c r="G1543" s="2">
        <v>159473</v>
      </c>
      <c r="H1543" s="2">
        <v>7</v>
      </c>
      <c r="I1543" s="2" t="s">
        <v>78</v>
      </c>
      <c r="J1543" s="3">
        <v>0.259681093394078</v>
      </c>
      <c r="K1543" s="21">
        <v>1398.88596491228</v>
      </c>
      <c r="L1543" s="21">
        <v>22781.8571428571</v>
      </c>
      <c r="M1543" s="21">
        <v>62.7142857142857</v>
      </c>
      <c r="N1543" s="2" t="s">
        <v>79</v>
      </c>
    </row>
    <row r="1544" s="2" customFormat="1" spans="1:14">
      <c r="A1544" s="20">
        <v>45850</v>
      </c>
      <c r="B1544" s="2" t="s">
        <v>96</v>
      </c>
      <c r="C1544" s="2" t="s">
        <v>97</v>
      </c>
      <c r="D1544" s="2">
        <v>3</v>
      </c>
      <c r="E1544" s="2">
        <v>718</v>
      </c>
      <c r="F1544" s="2">
        <v>153</v>
      </c>
      <c r="G1544" s="2">
        <v>245920</v>
      </c>
      <c r="H1544" s="2">
        <v>4</v>
      </c>
      <c r="I1544" s="2" t="s">
        <v>78</v>
      </c>
      <c r="J1544" s="3">
        <v>0.213091922005571</v>
      </c>
      <c r="K1544" s="21">
        <v>1607.32026143791</v>
      </c>
      <c r="L1544" s="21">
        <v>61480</v>
      </c>
      <c r="M1544" s="21">
        <v>179.5</v>
      </c>
      <c r="N1544" s="2" t="s">
        <v>80</v>
      </c>
    </row>
    <row r="1545" s="2" customFormat="1" spans="1:14">
      <c r="A1545" s="20">
        <v>45851</v>
      </c>
      <c r="B1545" s="2" t="s">
        <v>96</v>
      </c>
      <c r="C1545" s="2" t="s">
        <v>97</v>
      </c>
      <c r="D1545" s="2">
        <v>3</v>
      </c>
      <c r="E1545" s="2">
        <v>740</v>
      </c>
      <c r="F1545" s="2">
        <v>153</v>
      </c>
      <c r="G1545" s="2">
        <v>219820</v>
      </c>
      <c r="H1545" s="2">
        <v>5</v>
      </c>
      <c r="I1545" s="2" t="s">
        <v>81</v>
      </c>
      <c r="J1545" s="3">
        <v>0.206756756756757</v>
      </c>
      <c r="K1545" s="21">
        <v>1436.73202614379</v>
      </c>
      <c r="L1545" s="21">
        <v>43964</v>
      </c>
      <c r="M1545" s="21">
        <v>148</v>
      </c>
      <c r="N1545" s="2" t="s">
        <v>80</v>
      </c>
    </row>
    <row r="1546" s="2" customFormat="1" spans="1:14">
      <c r="A1546" s="20">
        <v>45852</v>
      </c>
      <c r="B1546" s="2" t="s">
        <v>96</v>
      </c>
      <c r="C1546" s="2" t="s">
        <v>97</v>
      </c>
      <c r="D1546" s="2">
        <v>3</v>
      </c>
      <c r="E1546" s="2">
        <v>414</v>
      </c>
      <c r="F1546" s="2">
        <v>87</v>
      </c>
      <c r="G1546" s="2">
        <v>138354</v>
      </c>
      <c r="H1546" s="2">
        <v>6</v>
      </c>
      <c r="I1546" s="2" t="s">
        <v>78</v>
      </c>
      <c r="J1546" s="3">
        <v>0.210144927536232</v>
      </c>
      <c r="K1546" s="21">
        <v>1590.27586206897</v>
      </c>
      <c r="L1546" s="21">
        <v>23059</v>
      </c>
      <c r="M1546" s="21">
        <v>69</v>
      </c>
      <c r="N1546" s="2" t="s">
        <v>79</v>
      </c>
    </row>
    <row r="1547" s="2" customFormat="1" spans="1:14">
      <c r="A1547" s="20">
        <v>45853</v>
      </c>
      <c r="B1547" s="2" t="s">
        <v>96</v>
      </c>
      <c r="C1547" s="2" t="s">
        <v>97</v>
      </c>
      <c r="D1547" s="2">
        <v>3</v>
      </c>
      <c r="E1547" s="2">
        <v>484</v>
      </c>
      <c r="F1547" s="2">
        <v>108</v>
      </c>
      <c r="G1547" s="2">
        <v>180849</v>
      </c>
      <c r="H1547" s="2">
        <v>6</v>
      </c>
      <c r="I1547" s="2" t="s">
        <v>78</v>
      </c>
      <c r="J1547" s="3">
        <v>0.223140495867769</v>
      </c>
      <c r="K1547" s="21">
        <v>1674.52777777778</v>
      </c>
      <c r="L1547" s="21">
        <v>30141.5</v>
      </c>
      <c r="M1547" s="21">
        <v>80.6666666666667</v>
      </c>
      <c r="N1547" s="2" t="s">
        <v>79</v>
      </c>
    </row>
    <row r="1548" s="2" customFormat="1" spans="1:14">
      <c r="A1548" s="20">
        <v>45854</v>
      </c>
      <c r="B1548" s="2" t="s">
        <v>96</v>
      </c>
      <c r="C1548" s="2" t="s">
        <v>97</v>
      </c>
      <c r="D1548" s="2">
        <v>3</v>
      </c>
      <c r="E1548" s="2">
        <v>529</v>
      </c>
      <c r="F1548" s="2">
        <v>130</v>
      </c>
      <c r="G1548" s="2">
        <v>205757</v>
      </c>
      <c r="H1548" s="2">
        <v>9</v>
      </c>
      <c r="I1548" s="2" t="s">
        <v>78</v>
      </c>
      <c r="J1548" s="3">
        <v>0.245746691871456</v>
      </c>
      <c r="K1548" s="21">
        <v>1582.74615384615</v>
      </c>
      <c r="L1548" s="21">
        <v>22861.8888888889</v>
      </c>
      <c r="M1548" s="21">
        <v>58.7777777777778</v>
      </c>
      <c r="N1548" s="2" t="s">
        <v>79</v>
      </c>
    </row>
    <row r="1549" s="2" customFormat="1" spans="1:14">
      <c r="A1549" s="20">
        <v>45855</v>
      </c>
      <c r="B1549" s="2" t="s">
        <v>96</v>
      </c>
      <c r="C1549" s="2" t="s">
        <v>97</v>
      </c>
      <c r="D1549" s="2">
        <v>3</v>
      </c>
      <c r="E1549" s="2">
        <v>379</v>
      </c>
      <c r="F1549" s="2">
        <v>91</v>
      </c>
      <c r="G1549" s="2">
        <v>132443</v>
      </c>
      <c r="H1549" s="2">
        <v>9</v>
      </c>
      <c r="I1549" s="2" t="s">
        <v>78</v>
      </c>
      <c r="J1549" s="3">
        <v>0.240105540897098</v>
      </c>
      <c r="K1549" s="21">
        <v>1455.41758241758</v>
      </c>
      <c r="L1549" s="21">
        <v>14715.8888888889</v>
      </c>
      <c r="M1549" s="21">
        <v>42.1111111111111</v>
      </c>
      <c r="N1549" s="2" t="s">
        <v>79</v>
      </c>
    </row>
    <row r="1550" s="2" customFormat="1" spans="1:14">
      <c r="A1550" s="20">
        <v>45856</v>
      </c>
      <c r="B1550" s="2" t="s">
        <v>96</v>
      </c>
      <c r="C1550" s="2" t="s">
        <v>97</v>
      </c>
      <c r="D1550" s="2">
        <v>3</v>
      </c>
      <c r="E1550" s="2">
        <v>384</v>
      </c>
      <c r="F1550" s="2">
        <v>86</v>
      </c>
      <c r="G1550" s="2">
        <v>94892</v>
      </c>
      <c r="H1550" s="2">
        <v>9</v>
      </c>
      <c r="I1550" s="2" t="s">
        <v>81</v>
      </c>
      <c r="J1550" s="3">
        <v>0.223958333333333</v>
      </c>
      <c r="K1550" s="21">
        <v>1103.39534883721</v>
      </c>
      <c r="L1550" s="21">
        <v>10543.5555555555</v>
      </c>
      <c r="M1550" s="21">
        <v>42.6666666666667</v>
      </c>
      <c r="N1550" s="2" t="s">
        <v>79</v>
      </c>
    </row>
    <row r="1551" s="2" customFormat="1" spans="1:14">
      <c r="A1551" s="20">
        <v>45857</v>
      </c>
      <c r="B1551" s="2" t="s">
        <v>96</v>
      </c>
      <c r="C1551" s="2" t="s">
        <v>97</v>
      </c>
      <c r="D1551" s="2">
        <v>3</v>
      </c>
      <c r="E1551" s="2">
        <v>666</v>
      </c>
      <c r="F1551" s="2">
        <v>161</v>
      </c>
      <c r="G1551" s="2">
        <v>206124</v>
      </c>
      <c r="H1551" s="2">
        <v>7</v>
      </c>
      <c r="I1551" s="2" t="s">
        <v>78</v>
      </c>
      <c r="J1551" s="3">
        <v>0.241741741741742</v>
      </c>
      <c r="K1551" s="21">
        <v>1280.27329192547</v>
      </c>
      <c r="L1551" s="21">
        <v>29446.2857142857</v>
      </c>
      <c r="M1551" s="21">
        <v>95.1428571428571</v>
      </c>
      <c r="N1551" s="2" t="s">
        <v>80</v>
      </c>
    </row>
    <row r="1552" s="2" customFormat="1" spans="1:14">
      <c r="A1552" s="20">
        <v>45858</v>
      </c>
      <c r="B1552" s="2" t="s">
        <v>96</v>
      </c>
      <c r="C1552" s="2" t="s">
        <v>97</v>
      </c>
      <c r="D1552" s="2">
        <v>3</v>
      </c>
      <c r="E1552" s="2">
        <v>507</v>
      </c>
      <c r="F1552" s="2">
        <v>120</v>
      </c>
      <c r="G1552" s="2">
        <v>170169</v>
      </c>
      <c r="H1552" s="2">
        <v>8</v>
      </c>
      <c r="I1552" s="2" t="s">
        <v>78</v>
      </c>
      <c r="J1552" s="3">
        <v>0.236686390532544</v>
      </c>
      <c r="K1552" s="21">
        <v>1418.075</v>
      </c>
      <c r="L1552" s="21">
        <v>21271.125</v>
      </c>
      <c r="M1552" s="21">
        <v>63.375</v>
      </c>
      <c r="N1552" s="2" t="s">
        <v>80</v>
      </c>
    </row>
    <row r="1553" s="2" customFormat="1" spans="1:14">
      <c r="A1553" s="20">
        <v>45859</v>
      </c>
      <c r="B1553" s="2" t="s">
        <v>96</v>
      </c>
      <c r="C1553" s="2" t="s">
        <v>97</v>
      </c>
      <c r="D1553" s="2">
        <v>3</v>
      </c>
      <c r="E1553" s="2">
        <v>471</v>
      </c>
      <c r="F1553" s="2">
        <v>105</v>
      </c>
      <c r="G1553" s="2">
        <v>145353</v>
      </c>
      <c r="H1553" s="2">
        <v>5</v>
      </c>
      <c r="I1553" s="2" t="s">
        <v>78</v>
      </c>
      <c r="J1553" s="3">
        <v>0.222929936305732</v>
      </c>
      <c r="K1553" s="21">
        <v>1384.31428571429</v>
      </c>
      <c r="L1553" s="21">
        <v>29070.6</v>
      </c>
      <c r="M1553" s="21">
        <v>94.2</v>
      </c>
      <c r="N1553" s="2" t="s">
        <v>79</v>
      </c>
    </row>
    <row r="1554" s="2" customFormat="1" spans="1:14">
      <c r="A1554" s="20">
        <v>45860</v>
      </c>
      <c r="B1554" s="2" t="s">
        <v>96</v>
      </c>
      <c r="C1554" s="2" t="s">
        <v>97</v>
      </c>
      <c r="D1554" s="2">
        <v>3</v>
      </c>
      <c r="E1554" s="2">
        <v>451</v>
      </c>
      <c r="F1554" s="2">
        <v>104</v>
      </c>
      <c r="G1554" s="2">
        <v>132657</v>
      </c>
      <c r="H1554" s="2">
        <v>9</v>
      </c>
      <c r="I1554" s="2" t="s">
        <v>78</v>
      </c>
      <c r="J1554" s="3">
        <v>0.23059866962306</v>
      </c>
      <c r="K1554" s="21">
        <v>1275.54807692308</v>
      </c>
      <c r="L1554" s="21">
        <v>14739.6666666667</v>
      </c>
      <c r="M1554" s="21">
        <v>50.1111111111111</v>
      </c>
      <c r="N1554" s="2" t="s">
        <v>79</v>
      </c>
    </row>
    <row r="1555" s="2" customFormat="1" spans="1:14">
      <c r="A1555" s="20">
        <v>45861</v>
      </c>
      <c r="B1555" s="2" t="s">
        <v>96</v>
      </c>
      <c r="C1555" s="2" t="s">
        <v>97</v>
      </c>
      <c r="D1555" s="2">
        <v>3</v>
      </c>
      <c r="E1555" s="2">
        <v>311</v>
      </c>
      <c r="F1555" s="2">
        <v>77</v>
      </c>
      <c r="G1555" s="2">
        <v>118041</v>
      </c>
      <c r="H1555" s="2">
        <v>7</v>
      </c>
      <c r="I1555" s="2" t="s">
        <v>78</v>
      </c>
      <c r="J1555" s="3">
        <v>0.247588424437299</v>
      </c>
      <c r="K1555" s="21">
        <v>1533</v>
      </c>
      <c r="L1555" s="21">
        <v>16863</v>
      </c>
      <c r="M1555" s="21">
        <v>44.4285714285714</v>
      </c>
      <c r="N1555" s="2" t="s">
        <v>79</v>
      </c>
    </row>
    <row r="1556" s="2" customFormat="1" spans="1:14">
      <c r="A1556" s="20">
        <v>45862</v>
      </c>
      <c r="B1556" s="2" t="s">
        <v>96</v>
      </c>
      <c r="C1556" s="2" t="s">
        <v>97</v>
      </c>
      <c r="D1556" s="2">
        <v>3</v>
      </c>
      <c r="E1556" s="2">
        <v>500</v>
      </c>
      <c r="F1556" s="2">
        <v>125</v>
      </c>
      <c r="G1556" s="2">
        <v>200570</v>
      </c>
      <c r="H1556" s="2">
        <v>5</v>
      </c>
      <c r="I1556" s="2" t="s">
        <v>78</v>
      </c>
      <c r="J1556" s="3">
        <v>0.25</v>
      </c>
      <c r="K1556" s="21">
        <v>1604.56</v>
      </c>
      <c r="L1556" s="21">
        <v>40114</v>
      </c>
      <c r="M1556" s="21">
        <v>100</v>
      </c>
      <c r="N1556" s="2" t="s">
        <v>79</v>
      </c>
    </row>
    <row r="1557" s="2" customFormat="1" spans="1:14">
      <c r="A1557" s="20">
        <v>45863</v>
      </c>
      <c r="B1557" s="2" t="s">
        <v>96</v>
      </c>
      <c r="C1557" s="2" t="s">
        <v>97</v>
      </c>
      <c r="D1557" s="2">
        <v>3</v>
      </c>
      <c r="E1557" s="2">
        <v>386</v>
      </c>
      <c r="F1557" s="2">
        <v>98</v>
      </c>
      <c r="G1557" s="2">
        <v>122081</v>
      </c>
      <c r="H1557" s="2">
        <v>9</v>
      </c>
      <c r="I1557" s="2" t="s">
        <v>78</v>
      </c>
      <c r="J1557" s="3">
        <v>0.253886010362694</v>
      </c>
      <c r="K1557" s="21">
        <v>1245.72448979592</v>
      </c>
      <c r="L1557" s="21">
        <v>13564.5555555555</v>
      </c>
      <c r="M1557" s="21">
        <v>42.8888888888889</v>
      </c>
      <c r="N1557" s="2" t="s">
        <v>79</v>
      </c>
    </row>
    <row r="1558" s="2" customFormat="1" spans="1:14">
      <c r="A1558" s="20">
        <v>45864</v>
      </c>
      <c r="B1558" s="2" t="s">
        <v>96</v>
      </c>
      <c r="C1558" s="2" t="s">
        <v>97</v>
      </c>
      <c r="D1558" s="2">
        <v>3</v>
      </c>
      <c r="E1558" s="2">
        <v>716</v>
      </c>
      <c r="F1558" s="2">
        <v>163</v>
      </c>
      <c r="G1558" s="2">
        <v>250183</v>
      </c>
      <c r="H1558" s="2">
        <v>7</v>
      </c>
      <c r="I1558" s="2" t="s">
        <v>78</v>
      </c>
      <c r="J1558" s="3">
        <v>0.227653631284916</v>
      </c>
      <c r="K1558" s="21">
        <v>1534.86503067485</v>
      </c>
      <c r="L1558" s="21">
        <v>35740.4285714286</v>
      </c>
      <c r="M1558" s="21">
        <v>102.285714285714</v>
      </c>
      <c r="N1558" s="2" t="s">
        <v>80</v>
      </c>
    </row>
    <row r="1559" s="2" customFormat="1" spans="1:14">
      <c r="A1559" s="20">
        <v>45865</v>
      </c>
      <c r="B1559" s="2" t="s">
        <v>96</v>
      </c>
      <c r="C1559" s="2" t="s">
        <v>97</v>
      </c>
      <c r="D1559" s="2">
        <v>3</v>
      </c>
      <c r="E1559" s="2">
        <v>661</v>
      </c>
      <c r="F1559" s="2">
        <v>150</v>
      </c>
      <c r="G1559" s="2">
        <v>180197</v>
      </c>
      <c r="H1559" s="2">
        <v>6</v>
      </c>
      <c r="I1559" s="2" t="s">
        <v>78</v>
      </c>
      <c r="J1559" s="3">
        <v>0.226928895612708</v>
      </c>
      <c r="K1559" s="21">
        <v>1201.31333333333</v>
      </c>
      <c r="L1559" s="21">
        <v>30032.8333333333</v>
      </c>
      <c r="M1559" s="21">
        <v>110.166666666667</v>
      </c>
      <c r="N1559" s="2" t="s">
        <v>80</v>
      </c>
    </row>
    <row r="1560" s="2" customFormat="1" spans="1:14">
      <c r="A1560" s="20">
        <v>45866</v>
      </c>
      <c r="B1560" s="2" t="s">
        <v>96</v>
      </c>
      <c r="C1560" s="2" t="s">
        <v>97</v>
      </c>
      <c r="D1560" s="2">
        <v>3</v>
      </c>
      <c r="E1560" s="2">
        <v>443</v>
      </c>
      <c r="F1560" s="2">
        <v>99</v>
      </c>
      <c r="G1560" s="2">
        <v>118128</v>
      </c>
      <c r="H1560" s="2">
        <v>4</v>
      </c>
      <c r="I1560" s="2" t="s">
        <v>78</v>
      </c>
      <c r="J1560" s="3">
        <v>0.223476297968397</v>
      </c>
      <c r="K1560" s="21">
        <v>1193.21212121212</v>
      </c>
      <c r="L1560" s="21">
        <v>29532</v>
      </c>
      <c r="M1560" s="21">
        <v>110.75</v>
      </c>
      <c r="N1560" s="2" t="s">
        <v>79</v>
      </c>
    </row>
    <row r="1561" s="2" customFormat="1" spans="1:14">
      <c r="A1561" s="20">
        <v>45867</v>
      </c>
      <c r="B1561" s="2" t="s">
        <v>96</v>
      </c>
      <c r="C1561" s="2" t="s">
        <v>97</v>
      </c>
      <c r="D1561" s="2">
        <v>3</v>
      </c>
      <c r="E1561" s="2">
        <v>416</v>
      </c>
      <c r="F1561" s="2">
        <v>99</v>
      </c>
      <c r="G1561" s="2">
        <v>119178</v>
      </c>
      <c r="H1561" s="2">
        <v>5</v>
      </c>
      <c r="I1561" s="2" t="s">
        <v>78</v>
      </c>
      <c r="J1561" s="3">
        <v>0.237980769230769</v>
      </c>
      <c r="K1561" s="21">
        <v>1203.81818181818</v>
      </c>
      <c r="L1561" s="21">
        <v>23835.6</v>
      </c>
      <c r="M1561" s="21">
        <v>83.2</v>
      </c>
      <c r="N1561" s="2" t="s">
        <v>79</v>
      </c>
    </row>
    <row r="1562" s="2" customFormat="1" spans="1:14">
      <c r="A1562" s="20">
        <v>45868</v>
      </c>
      <c r="B1562" s="2" t="s">
        <v>96</v>
      </c>
      <c r="C1562" s="2" t="s">
        <v>97</v>
      </c>
      <c r="D1562" s="2">
        <v>3</v>
      </c>
      <c r="E1562" s="2">
        <v>408</v>
      </c>
      <c r="F1562" s="2">
        <v>93</v>
      </c>
      <c r="G1562" s="2">
        <v>155407</v>
      </c>
      <c r="H1562" s="2">
        <v>4</v>
      </c>
      <c r="I1562" s="2" t="s">
        <v>78</v>
      </c>
      <c r="J1562" s="3">
        <v>0.227941176470588</v>
      </c>
      <c r="K1562" s="21">
        <v>1671.04301075269</v>
      </c>
      <c r="L1562" s="21">
        <v>38851.75</v>
      </c>
      <c r="M1562" s="21">
        <v>102</v>
      </c>
      <c r="N1562" s="2" t="s">
        <v>79</v>
      </c>
    </row>
    <row r="1563" s="2" customFormat="1" spans="1:14">
      <c r="A1563" s="20">
        <v>45869</v>
      </c>
      <c r="B1563" s="2" t="s">
        <v>96</v>
      </c>
      <c r="C1563" s="2" t="s">
        <v>97</v>
      </c>
      <c r="D1563" s="2">
        <v>3</v>
      </c>
      <c r="E1563" s="2">
        <v>497</v>
      </c>
      <c r="F1563" s="2">
        <v>115</v>
      </c>
      <c r="G1563" s="2">
        <v>140037</v>
      </c>
      <c r="H1563" s="2">
        <v>4</v>
      </c>
      <c r="I1563" s="2" t="s">
        <v>78</v>
      </c>
      <c r="J1563" s="3">
        <v>0.231388329979879</v>
      </c>
      <c r="K1563" s="21">
        <v>1217.71304347826</v>
      </c>
      <c r="L1563" s="21">
        <v>35009.25</v>
      </c>
      <c r="M1563" s="21">
        <v>124.25</v>
      </c>
      <c r="N1563" s="2" t="s">
        <v>79</v>
      </c>
    </row>
    <row r="1564" s="2" customFormat="1" spans="1:14">
      <c r="A1564" s="20">
        <v>45870</v>
      </c>
      <c r="B1564" s="2" t="s">
        <v>96</v>
      </c>
      <c r="C1564" s="2" t="s">
        <v>97</v>
      </c>
      <c r="D1564" s="2">
        <v>3</v>
      </c>
      <c r="E1564" s="2">
        <v>443</v>
      </c>
      <c r="F1564" s="2">
        <v>89</v>
      </c>
      <c r="G1564" s="2">
        <v>101447</v>
      </c>
      <c r="H1564" s="2">
        <v>4</v>
      </c>
      <c r="I1564" s="2" t="s">
        <v>78</v>
      </c>
      <c r="J1564" s="3">
        <v>0.200902934537246</v>
      </c>
      <c r="K1564" s="21">
        <v>1139.85393258427</v>
      </c>
      <c r="L1564" s="21">
        <v>25361.75</v>
      </c>
      <c r="M1564" s="21">
        <v>110.75</v>
      </c>
      <c r="N1564" s="2" t="s">
        <v>79</v>
      </c>
    </row>
    <row r="1565" s="2" customFormat="1" spans="1:14">
      <c r="A1565" s="20">
        <v>45871</v>
      </c>
      <c r="B1565" s="2" t="s">
        <v>96</v>
      </c>
      <c r="C1565" s="2" t="s">
        <v>97</v>
      </c>
      <c r="D1565" s="2">
        <v>3</v>
      </c>
      <c r="E1565" s="2">
        <v>576</v>
      </c>
      <c r="F1565" s="2">
        <v>118</v>
      </c>
      <c r="G1565" s="2">
        <v>190192</v>
      </c>
      <c r="H1565" s="2">
        <v>4</v>
      </c>
      <c r="I1565" s="2" t="s">
        <v>78</v>
      </c>
      <c r="J1565" s="3">
        <v>0.204861111111111</v>
      </c>
      <c r="K1565" s="21">
        <v>1611.79661016949</v>
      </c>
      <c r="L1565" s="21">
        <v>47548</v>
      </c>
      <c r="M1565" s="21">
        <v>144</v>
      </c>
      <c r="N1565" s="2" t="s">
        <v>80</v>
      </c>
    </row>
    <row r="1566" s="2" customFormat="1" spans="1:14">
      <c r="A1566" s="20">
        <v>45872</v>
      </c>
      <c r="B1566" s="2" t="s">
        <v>96</v>
      </c>
      <c r="C1566" s="2" t="s">
        <v>97</v>
      </c>
      <c r="D1566" s="2">
        <v>3</v>
      </c>
      <c r="E1566" s="2">
        <v>531</v>
      </c>
      <c r="F1566" s="2">
        <v>122</v>
      </c>
      <c r="G1566" s="2">
        <v>203212</v>
      </c>
      <c r="H1566" s="2">
        <v>9</v>
      </c>
      <c r="I1566" s="2" t="s">
        <v>78</v>
      </c>
      <c r="J1566" s="3">
        <v>0.229755178907721</v>
      </c>
      <c r="K1566" s="21">
        <v>1665.67213114754</v>
      </c>
      <c r="L1566" s="21">
        <v>22579.1111111111</v>
      </c>
      <c r="M1566" s="21">
        <v>59</v>
      </c>
      <c r="N1566" s="2" t="s">
        <v>80</v>
      </c>
    </row>
    <row r="1567" s="2" customFormat="1" spans="1:14">
      <c r="A1567" s="20">
        <v>45873</v>
      </c>
      <c r="B1567" s="2" t="s">
        <v>96</v>
      </c>
      <c r="C1567" s="2" t="s">
        <v>97</v>
      </c>
      <c r="D1567" s="2">
        <v>3</v>
      </c>
      <c r="E1567" s="2">
        <v>420</v>
      </c>
      <c r="F1567" s="2">
        <v>102</v>
      </c>
      <c r="G1567" s="2">
        <v>166162</v>
      </c>
      <c r="H1567" s="2">
        <v>5</v>
      </c>
      <c r="I1567" s="2" t="s">
        <v>78</v>
      </c>
      <c r="J1567" s="3">
        <v>0.242857142857143</v>
      </c>
      <c r="K1567" s="21">
        <v>1629.03921568627</v>
      </c>
      <c r="L1567" s="21">
        <v>33232.4</v>
      </c>
      <c r="M1567" s="21">
        <v>84</v>
      </c>
      <c r="N1567" s="2" t="s">
        <v>79</v>
      </c>
    </row>
    <row r="1568" s="2" customFormat="1" spans="1:14">
      <c r="A1568" s="20">
        <v>45874</v>
      </c>
      <c r="B1568" s="2" t="s">
        <v>96</v>
      </c>
      <c r="C1568" s="2" t="s">
        <v>97</v>
      </c>
      <c r="D1568" s="2">
        <v>3</v>
      </c>
      <c r="E1568" s="2">
        <v>438</v>
      </c>
      <c r="F1568" s="2">
        <v>99</v>
      </c>
      <c r="G1568" s="2">
        <v>130083</v>
      </c>
      <c r="H1568" s="2">
        <v>9</v>
      </c>
      <c r="I1568" s="2" t="s">
        <v>78</v>
      </c>
      <c r="J1568" s="3">
        <v>0.226027397260274</v>
      </c>
      <c r="K1568" s="21">
        <v>1313.9696969697</v>
      </c>
      <c r="L1568" s="21">
        <v>14453.6666666667</v>
      </c>
      <c r="M1568" s="21">
        <v>48.6666666666667</v>
      </c>
      <c r="N1568" s="2" t="s">
        <v>79</v>
      </c>
    </row>
    <row r="1569" s="2" customFormat="1" spans="1:14">
      <c r="A1569" s="20">
        <v>45875</v>
      </c>
      <c r="B1569" s="2" t="s">
        <v>96</v>
      </c>
      <c r="C1569" s="2" t="s">
        <v>97</v>
      </c>
      <c r="D1569" s="2">
        <v>3</v>
      </c>
      <c r="E1569" s="2">
        <v>498</v>
      </c>
      <c r="F1569" s="2">
        <v>111</v>
      </c>
      <c r="G1569" s="2">
        <v>124222</v>
      </c>
      <c r="H1569" s="2">
        <v>7</v>
      </c>
      <c r="I1569" s="2" t="s">
        <v>78</v>
      </c>
      <c r="J1569" s="3">
        <v>0.22289156626506</v>
      </c>
      <c r="K1569" s="21">
        <v>1119.11711711712</v>
      </c>
      <c r="L1569" s="21">
        <v>17746</v>
      </c>
      <c r="M1569" s="21">
        <v>71.1428571428571</v>
      </c>
      <c r="N1569" s="2" t="s">
        <v>79</v>
      </c>
    </row>
    <row r="1570" s="2" customFormat="1" spans="1:14">
      <c r="A1570" s="20">
        <v>45876</v>
      </c>
      <c r="B1570" s="2" t="s">
        <v>96</v>
      </c>
      <c r="C1570" s="2" t="s">
        <v>97</v>
      </c>
      <c r="D1570" s="2">
        <v>3</v>
      </c>
      <c r="E1570" s="2">
        <v>431</v>
      </c>
      <c r="F1570" s="2">
        <v>104</v>
      </c>
      <c r="G1570" s="2">
        <v>176633</v>
      </c>
      <c r="H1570" s="2">
        <v>7</v>
      </c>
      <c r="I1570" s="2" t="s">
        <v>78</v>
      </c>
      <c r="J1570" s="3">
        <v>0.241299303944316</v>
      </c>
      <c r="K1570" s="21">
        <v>1698.39423076923</v>
      </c>
      <c r="L1570" s="21">
        <v>25233.2857142857</v>
      </c>
      <c r="M1570" s="21">
        <v>61.5714285714286</v>
      </c>
      <c r="N1570" s="2" t="s">
        <v>79</v>
      </c>
    </row>
    <row r="1571" s="2" customFormat="1" spans="1:14">
      <c r="A1571" s="20">
        <v>45877</v>
      </c>
      <c r="B1571" s="2" t="s">
        <v>96</v>
      </c>
      <c r="C1571" s="2" t="s">
        <v>97</v>
      </c>
      <c r="D1571" s="2">
        <v>3</v>
      </c>
      <c r="E1571" s="2">
        <v>470</v>
      </c>
      <c r="F1571" s="2">
        <v>117</v>
      </c>
      <c r="G1571" s="2">
        <v>180127</v>
      </c>
      <c r="H1571" s="2">
        <v>5</v>
      </c>
      <c r="I1571" s="2" t="s">
        <v>78</v>
      </c>
      <c r="J1571" s="3">
        <v>0.248936170212766</v>
      </c>
      <c r="K1571" s="21">
        <v>1539.54700854701</v>
      </c>
      <c r="L1571" s="21">
        <v>36025.4</v>
      </c>
      <c r="M1571" s="21">
        <v>94</v>
      </c>
      <c r="N1571" s="2" t="s">
        <v>79</v>
      </c>
    </row>
    <row r="1572" s="2" customFormat="1" spans="1:14">
      <c r="A1572" s="20">
        <v>45878</v>
      </c>
      <c r="B1572" s="2" t="s">
        <v>96</v>
      </c>
      <c r="C1572" s="2" t="s">
        <v>97</v>
      </c>
      <c r="D1572" s="2">
        <v>3</v>
      </c>
      <c r="E1572" s="2">
        <v>570</v>
      </c>
      <c r="F1572" s="2">
        <v>135</v>
      </c>
      <c r="G1572" s="2">
        <v>192699</v>
      </c>
      <c r="H1572" s="2">
        <v>6</v>
      </c>
      <c r="I1572" s="2" t="s">
        <v>78</v>
      </c>
      <c r="J1572" s="3">
        <v>0.236842105263158</v>
      </c>
      <c r="K1572" s="21">
        <v>1427.4</v>
      </c>
      <c r="L1572" s="21">
        <v>32116.5</v>
      </c>
      <c r="M1572" s="21">
        <v>95</v>
      </c>
      <c r="N1572" s="2" t="s">
        <v>80</v>
      </c>
    </row>
    <row r="1573" s="2" customFormat="1" spans="1:14">
      <c r="A1573" s="20">
        <v>45879</v>
      </c>
      <c r="B1573" s="2" t="s">
        <v>96</v>
      </c>
      <c r="C1573" s="2" t="s">
        <v>97</v>
      </c>
      <c r="D1573" s="2">
        <v>3</v>
      </c>
      <c r="E1573" s="2">
        <v>523</v>
      </c>
      <c r="F1573" s="2">
        <v>124</v>
      </c>
      <c r="G1573" s="2">
        <v>175522</v>
      </c>
      <c r="H1573" s="2">
        <v>6</v>
      </c>
      <c r="I1573" s="2" t="s">
        <v>78</v>
      </c>
      <c r="J1573" s="3">
        <v>0.237093690248566</v>
      </c>
      <c r="K1573" s="21">
        <v>1415.5</v>
      </c>
      <c r="L1573" s="21">
        <v>29253.6666666667</v>
      </c>
      <c r="M1573" s="21">
        <v>87.1666666666667</v>
      </c>
      <c r="N1573" s="2" t="s">
        <v>80</v>
      </c>
    </row>
    <row r="1574" s="2" customFormat="1" spans="1:14">
      <c r="A1574" s="20">
        <v>45880</v>
      </c>
      <c r="B1574" s="2" t="s">
        <v>96</v>
      </c>
      <c r="C1574" s="2" t="s">
        <v>97</v>
      </c>
      <c r="D1574" s="2">
        <v>3</v>
      </c>
      <c r="E1574" s="2">
        <v>469</v>
      </c>
      <c r="F1574" s="2">
        <v>119</v>
      </c>
      <c r="G1574" s="2">
        <v>148045</v>
      </c>
      <c r="H1574" s="2">
        <v>9</v>
      </c>
      <c r="I1574" s="2" t="s">
        <v>81</v>
      </c>
      <c r="J1574" s="3">
        <v>0.253731343283582</v>
      </c>
      <c r="K1574" s="21">
        <v>1244.0756302521</v>
      </c>
      <c r="L1574" s="21">
        <v>16449.4444444444</v>
      </c>
      <c r="M1574" s="21">
        <v>52.1111111111111</v>
      </c>
      <c r="N1574" s="2" t="s">
        <v>79</v>
      </c>
    </row>
    <row r="1575" s="2" customFormat="1" spans="1:14">
      <c r="A1575" s="20">
        <v>45881</v>
      </c>
      <c r="B1575" s="2" t="s">
        <v>96</v>
      </c>
      <c r="C1575" s="2" t="s">
        <v>97</v>
      </c>
      <c r="D1575" s="2">
        <v>3</v>
      </c>
      <c r="E1575" s="2">
        <v>478</v>
      </c>
      <c r="F1575" s="2">
        <v>116</v>
      </c>
      <c r="G1575" s="2">
        <v>171661</v>
      </c>
      <c r="H1575" s="2">
        <v>6</v>
      </c>
      <c r="I1575" s="2" t="s">
        <v>78</v>
      </c>
      <c r="J1575" s="3">
        <v>0.242677824267782</v>
      </c>
      <c r="K1575" s="21">
        <v>1479.83620689655</v>
      </c>
      <c r="L1575" s="21">
        <v>28610.1666666667</v>
      </c>
      <c r="M1575" s="21">
        <v>79.6666666666667</v>
      </c>
      <c r="N1575" s="2" t="s">
        <v>79</v>
      </c>
    </row>
    <row r="1576" s="2" customFormat="1" spans="1:14">
      <c r="A1576" s="20">
        <v>45882</v>
      </c>
      <c r="B1576" s="2" t="s">
        <v>96</v>
      </c>
      <c r="C1576" s="2" t="s">
        <v>97</v>
      </c>
      <c r="D1576" s="2">
        <v>3</v>
      </c>
      <c r="E1576" s="2">
        <v>435</v>
      </c>
      <c r="F1576" s="2">
        <v>106</v>
      </c>
      <c r="G1576" s="2">
        <v>139499</v>
      </c>
      <c r="H1576" s="2">
        <v>9</v>
      </c>
      <c r="I1576" s="2" t="s">
        <v>78</v>
      </c>
      <c r="J1576" s="3">
        <v>0.24367816091954</v>
      </c>
      <c r="K1576" s="21">
        <v>1316.02830188679</v>
      </c>
      <c r="L1576" s="21">
        <v>15499.8888888889</v>
      </c>
      <c r="M1576" s="21">
        <v>48.3333333333333</v>
      </c>
      <c r="N1576" s="2" t="s">
        <v>79</v>
      </c>
    </row>
    <row r="1577" s="2" customFormat="1" spans="1:14">
      <c r="A1577" s="20">
        <v>45883</v>
      </c>
      <c r="B1577" s="2" t="s">
        <v>96</v>
      </c>
      <c r="C1577" s="2" t="s">
        <v>97</v>
      </c>
      <c r="D1577" s="2">
        <v>3</v>
      </c>
      <c r="E1577" s="2">
        <v>391</v>
      </c>
      <c r="F1577" s="2">
        <v>90</v>
      </c>
      <c r="G1577" s="2">
        <v>135905</v>
      </c>
      <c r="H1577" s="2">
        <v>5</v>
      </c>
      <c r="I1577" s="2" t="s">
        <v>78</v>
      </c>
      <c r="J1577" s="3">
        <v>0.230179028132992</v>
      </c>
      <c r="K1577" s="21">
        <v>1510.05555555556</v>
      </c>
      <c r="L1577" s="21">
        <v>27181</v>
      </c>
      <c r="M1577" s="21">
        <v>78.2</v>
      </c>
      <c r="N1577" s="2" t="s">
        <v>79</v>
      </c>
    </row>
    <row r="1578" s="2" customFormat="1" spans="1:14">
      <c r="A1578" s="20">
        <v>45884</v>
      </c>
      <c r="B1578" s="2" t="s">
        <v>96</v>
      </c>
      <c r="C1578" s="2" t="s">
        <v>97</v>
      </c>
      <c r="D1578" s="2">
        <v>3</v>
      </c>
      <c r="E1578" s="2">
        <v>462</v>
      </c>
      <c r="F1578" s="2">
        <v>112</v>
      </c>
      <c r="G1578" s="2">
        <v>151617</v>
      </c>
      <c r="H1578" s="2">
        <v>9</v>
      </c>
      <c r="I1578" s="2" t="s">
        <v>78</v>
      </c>
      <c r="J1578" s="3">
        <v>0.242424242424242</v>
      </c>
      <c r="K1578" s="21">
        <v>1353.72321428571</v>
      </c>
      <c r="L1578" s="21">
        <v>16846.3333333333</v>
      </c>
      <c r="M1578" s="21">
        <v>51.3333333333333</v>
      </c>
      <c r="N1578" s="2" t="s">
        <v>79</v>
      </c>
    </row>
    <row r="1579" s="2" customFormat="1" spans="1:14">
      <c r="A1579" s="20">
        <v>45885</v>
      </c>
      <c r="B1579" s="2" t="s">
        <v>96</v>
      </c>
      <c r="C1579" s="2" t="s">
        <v>97</v>
      </c>
      <c r="D1579" s="2">
        <v>3</v>
      </c>
      <c r="E1579" s="2">
        <v>593</v>
      </c>
      <c r="F1579" s="2">
        <v>144</v>
      </c>
      <c r="G1579" s="2">
        <v>243158</v>
      </c>
      <c r="H1579" s="2">
        <v>4</v>
      </c>
      <c r="I1579" s="2" t="s">
        <v>78</v>
      </c>
      <c r="J1579" s="3">
        <v>0.24283305227656</v>
      </c>
      <c r="K1579" s="21">
        <v>1688.59722222222</v>
      </c>
      <c r="L1579" s="21">
        <v>60789.5</v>
      </c>
      <c r="M1579" s="21">
        <v>148.25</v>
      </c>
      <c r="N1579" s="2" t="s">
        <v>80</v>
      </c>
    </row>
    <row r="1580" s="2" customFormat="1" spans="1:14">
      <c r="A1580" s="20">
        <v>45886</v>
      </c>
      <c r="B1580" s="2" t="s">
        <v>96</v>
      </c>
      <c r="C1580" s="2" t="s">
        <v>97</v>
      </c>
      <c r="D1580" s="2">
        <v>3</v>
      </c>
      <c r="E1580" s="2">
        <v>505</v>
      </c>
      <c r="F1580" s="2">
        <v>113</v>
      </c>
      <c r="G1580" s="2">
        <v>180562</v>
      </c>
      <c r="H1580" s="2">
        <v>7</v>
      </c>
      <c r="I1580" s="2" t="s">
        <v>78</v>
      </c>
      <c r="J1580" s="3">
        <v>0.223762376237624</v>
      </c>
      <c r="K1580" s="21">
        <v>1597.89380530973</v>
      </c>
      <c r="L1580" s="21">
        <v>25794.5714285714</v>
      </c>
      <c r="M1580" s="21">
        <v>72.1428571428571</v>
      </c>
      <c r="N1580" s="2" t="s">
        <v>80</v>
      </c>
    </row>
    <row r="1581" s="2" customFormat="1" spans="1:14">
      <c r="A1581" s="20">
        <v>45887</v>
      </c>
      <c r="B1581" s="2" t="s">
        <v>96</v>
      </c>
      <c r="C1581" s="2" t="s">
        <v>97</v>
      </c>
      <c r="D1581" s="2">
        <v>3</v>
      </c>
      <c r="E1581" s="2">
        <v>389</v>
      </c>
      <c r="F1581" s="2">
        <v>89</v>
      </c>
      <c r="G1581" s="2">
        <v>107079</v>
      </c>
      <c r="H1581" s="2">
        <v>4</v>
      </c>
      <c r="I1581" s="2" t="s">
        <v>78</v>
      </c>
      <c r="J1581" s="3">
        <v>0.22879177377892</v>
      </c>
      <c r="K1581" s="21">
        <v>1203.13483146067</v>
      </c>
      <c r="L1581" s="21">
        <v>26769.75</v>
      </c>
      <c r="M1581" s="21">
        <v>97.25</v>
      </c>
      <c r="N1581" s="2" t="s">
        <v>79</v>
      </c>
    </row>
    <row r="1582" s="2" customFormat="1" spans="1:14">
      <c r="A1582" s="20">
        <v>45888</v>
      </c>
      <c r="B1582" s="2" t="s">
        <v>96</v>
      </c>
      <c r="C1582" s="2" t="s">
        <v>97</v>
      </c>
      <c r="D1582" s="2">
        <v>3</v>
      </c>
      <c r="E1582" s="2">
        <v>423</v>
      </c>
      <c r="F1582" s="2">
        <v>103</v>
      </c>
      <c r="G1582" s="2">
        <v>140554</v>
      </c>
      <c r="H1582" s="2">
        <v>4</v>
      </c>
      <c r="I1582" s="2" t="s">
        <v>78</v>
      </c>
      <c r="J1582" s="3">
        <v>0.243498817966903</v>
      </c>
      <c r="K1582" s="21">
        <v>1364.60194174757</v>
      </c>
      <c r="L1582" s="21">
        <v>35138.5</v>
      </c>
      <c r="M1582" s="21">
        <v>105.75</v>
      </c>
      <c r="N1582" s="2" t="s">
        <v>79</v>
      </c>
    </row>
    <row r="1583" s="2" customFormat="1" spans="1:14">
      <c r="A1583" s="20">
        <v>45889</v>
      </c>
      <c r="B1583" s="2" t="s">
        <v>96</v>
      </c>
      <c r="C1583" s="2" t="s">
        <v>97</v>
      </c>
      <c r="D1583" s="2">
        <v>3</v>
      </c>
      <c r="E1583" s="2">
        <v>375</v>
      </c>
      <c r="F1583" s="2">
        <v>84</v>
      </c>
      <c r="G1583" s="2">
        <v>97360</v>
      </c>
      <c r="H1583" s="2">
        <v>5</v>
      </c>
      <c r="I1583" s="2" t="s">
        <v>78</v>
      </c>
      <c r="J1583" s="3">
        <v>0.224</v>
      </c>
      <c r="K1583" s="21">
        <v>1159.04761904762</v>
      </c>
      <c r="L1583" s="21">
        <v>19472</v>
      </c>
      <c r="M1583" s="21">
        <v>75</v>
      </c>
      <c r="N1583" s="2" t="s">
        <v>79</v>
      </c>
    </row>
    <row r="1584" s="2" customFormat="1" spans="1:14">
      <c r="A1584" s="20">
        <v>45890</v>
      </c>
      <c r="B1584" s="2" t="s">
        <v>96</v>
      </c>
      <c r="C1584" s="2" t="s">
        <v>97</v>
      </c>
      <c r="D1584" s="2">
        <v>3</v>
      </c>
      <c r="E1584" s="2">
        <v>510</v>
      </c>
      <c r="F1584" s="2">
        <v>126</v>
      </c>
      <c r="G1584" s="2">
        <v>164380</v>
      </c>
      <c r="H1584" s="2">
        <v>6</v>
      </c>
      <c r="I1584" s="2" t="s">
        <v>78</v>
      </c>
      <c r="J1584" s="3">
        <v>0.247058823529412</v>
      </c>
      <c r="K1584" s="21">
        <v>1304.60317460317</v>
      </c>
      <c r="L1584" s="21">
        <v>27396.6666666667</v>
      </c>
      <c r="M1584" s="21">
        <v>85</v>
      </c>
      <c r="N1584" s="2" t="s">
        <v>79</v>
      </c>
    </row>
    <row r="1585" s="2" customFormat="1" spans="1:14">
      <c r="A1585" s="20">
        <v>45891</v>
      </c>
      <c r="B1585" s="2" t="s">
        <v>96</v>
      </c>
      <c r="C1585" s="2" t="s">
        <v>97</v>
      </c>
      <c r="D1585" s="2">
        <v>3</v>
      </c>
      <c r="E1585" s="2">
        <v>478</v>
      </c>
      <c r="F1585" s="2">
        <v>112</v>
      </c>
      <c r="G1585" s="2">
        <v>142068</v>
      </c>
      <c r="H1585" s="2">
        <v>8</v>
      </c>
      <c r="I1585" s="2" t="s">
        <v>78</v>
      </c>
      <c r="J1585" s="3">
        <v>0.234309623430962</v>
      </c>
      <c r="K1585" s="21">
        <v>1268.46428571429</v>
      </c>
      <c r="L1585" s="21">
        <v>17758.5</v>
      </c>
      <c r="M1585" s="21">
        <v>59.75</v>
      </c>
      <c r="N1585" s="2" t="s">
        <v>79</v>
      </c>
    </row>
    <row r="1586" s="2" customFormat="1" spans="1:14">
      <c r="A1586" s="20">
        <v>45892</v>
      </c>
      <c r="B1586" s="2" t="s">
        <v>96</v>
      </c>
      <c r="C1586" s="2" t="s">
        <v>97</v>
      </c>
      <c r="D1586" s="2">
        <v>3</v>
      </c>
      <c r="E1586" s="2">
        <v>562</v>
      </c>
      <c r="F1586" s="2">
        <v>125</v>
      </c>
      <c r="G1586" s="2">
        <v>199308</v>
      </c>
      <c r="H1586" s="2">
        <v>8</v>
      </c>
      <c r="I1586" s="2" t="s">
        <v>78</v>
      </c>
      <c r="J1586" s="3">
        <v>0.222419928825623</v>
      </c>
      <c r="K1586" s="21">
        <v>1594.464</v>
      </c>
      <c r="L1586" s="21">
        <v>24913.5</v>
      </c>
      <c r="M1586" s="21">
        <v>70.25</v>
      </c>
      <c r="N1586" s="2" t="s">
        <v>80</v>
      </c>
    </row>
    <row r="1587" s="2" customFormat="1" spans="1:14">
      <c r="A1587" s="20">
        <v>45893</v>
      </c>
      <c r="B1587" s="2" t="s">
        <v>96</v>
      </c>
      <c r="C1587" s="2" t="s">
        <v>97</v>
      </c>
      <c r="D1587" s="2">
        <v>3</v>
      </c>
      <c r="E1587" s="2">
        <v>656</v>
      </c>
      <c r="F1587" s="2">
        <v>153</v>
      </c>
      <c r="G1587" s="2">
        <v>189604</v>
      </c>
      <c r="H1587" s="2">
        <v>6</v>
      </c>
      <c r="I1587" s="2" t="s">
        <v>78</v>
      </c>
      <c r="J1587" s="3">
        <v>0.233231707317073</v>
      </c>
      <c r="K1587" s="21">
        <v>1239.24183006536</v>
      </c>
      <c r="L1587" s="21">
        <v>31600.6666666667</v>
      </c>
      <c r="M1587" s="21">
        <v>109.333333333333</v>
      </c>
      <c r="N1587" s="2" t="s">
        <v>80</v>
      </c>
    </row>
    <row r="1588" s="2" customFormat="1" spans="1:14">
      <c r="A1588" s="20">
        <v>45894</v>
      </c>
      <c r="B1588" s="2" t="s">
        <v>96</v>
      </c>
      <c r="C1588" s="2" t="s">
        <v>97</v>
      </c>
      <c r="D1588" s="2">
        <v>3</v>
      </c>
      <c r="E1588" s="2">
        <v>424</v>
      </c>
      <c r="F1588" s="2">
        <v>99</v>
      </c>
      <c r="G1588" s="2">
        <v>149991</v>
      </c>
      <c r="H1588" s="2">
        <v>4</v>
      </c>
      <c r="I1588" s="2" t="s">
        <v>78</v>
      </c>
      <c r="J1588" s="3">
        <v>0.233490566037736</v>
      </c>
      <c r="K1588" s="21">
        <v>1515.06060606061</v>
      </c>
      <c r="L1588" s="21">
        <v>37497.75</v>
      </c>
      <c r="M1588" s="21">
        <v>106</v>
      </c>
      <c r="N1588" s="2" t="s">
        <v>79</v>
      </c>
    </row>
    <row r="1589" s="2" customFormat="1" spans="1:14">
      <c r="A1589" s="20">
        <v>45895</v>
      </c>
      <c r="B1589" s="2" t="s">
        <v>96</v>
      </c>
      <c r="C1589" s="2" t="s">
        <v>97</v>
      </c>
      <c r="D1589" s="2">
        <v>3</v>
      </c>
      <c r="E1589" s="2">
        <v>445</v>
      </c>
      <c r="F1589" s="2">
        <v>97</v>
      </c>
      <c r="G1589" s="2">
        <v>144981</v>
      </c>
      <c r="H1589" s="2">
        <v>6</v>
      </c>
      <c r="I1589" s="2" t="s">
        <v>78</v>
      </c>
      <c r="J1589" s="3">
        <v>0.217977528089888</v>
      </c>
      <c r="K1589" s="21">
        <v>1494.64948453608</v>
      </c>
      <c r="L1589" s="21">
        <v>24163.5</v>
      </c>
      <c r="M1589" s="21">
        <v>74.1666666666667</v>
      </c>
      <c r="N1589" s="2" t="s">
        <v>79</v>
      </c>
    </row>
    <row r="1590" s="2" customFormat="1" spans="1:14">
      <c r="A1590" s="20">
        <v>45896</v>
      </c>
      <c r="B1590" s="2" t="s">
        <v>96</v>
      </c>
      <c r="C1590" s="2" t="s">
        <v>97</v>
      </c>
      <c r="D1590" s="2">
        <v>3</v>
      </c>
      <c r="E1590" s="2">
        <v>469</v>
      </c>
      <c r="F1590" s="2">
        <v>111</v>
      </c>
      <c r="G1590" s="2">
        <v>174173</v>
      </c>
      <c r="H1590" s="2">
        <v>4</v>
      </c>
      <c r="I1590" s="2" t="s">
        <v>78</v>
      </c>
      <c r="J1590" s="3">
        <v>0.236673773987207</v>
      </c>
      <c r="K1590" s="21">
        <v>1569.12612612613</v>
      </c>
      <c r="L1590" s="21">
        <v>43543.25</v>
      </c>
      <c r="M1590" s="21">
        <v>117.25</v>
      </c>
      <c r="N1590" s="2" t="s">
        <v>79</v>
      </c>
    </row>
    <row r="1591" s="2" customFormat="1" spans="1:14">
      <c r="A1591" s="20">
        <v>45897</v>
      </c>
      <c r="B1591" s="2" t="s">
        <v>96</v>
      </c>
      <c r="C1591" s="2" t="s">
        <v>97</v>
      </c>
      <c r="D1591" s="2">
        <v>3</v>
      </c>
      <c r="E1591" s="2">
        <v>488</v>
      </c>
      <c r="F1591" s="2">
        <v>110</v>
      </c>
      <c r="G1591" s="2">
        <v>183832</v>
      </c>
      <c r="H1591" s="2">
        <v>5</v>
      </c>
      <c r="I1591" s="2" t="s">
        <v>78</v>
      </c>
      <c r="J1591" s="3">
        <v>0.225409836065574</v>
      </c>
      <c r="K1591" s="21">
        <v>1671.2</v>
      </c>
      <c r="L1591" s="21">
        <v>36766.4</v>
      </c>
      <c r="M1591" s="21">
        <v>97.6</v>
      </c>
      <c r="N1591" s="2" t="s">
        <v>79</v>
      </c>
    </row>
    <row r="1592" s="2" customFormat="1" spans="1:14">
      <c r="A1592" s="20">
        <v>45898</v>
      </c>
      <c r="B1592" s="2" t="s">
        <v>96</v>
      </c>
      <c r="C1592" s="2" t="s">
        <v>97</v>
      </c>
      <c r="D1592" s="2">
        <v>3</v>
      </c>
      <c r="E1592" s="2">
        <v>392</v>
      </c>
      <c r="F1592" s="2">
        <v>85</v>
      </c>
      <c r="G1592" s="2">
        <v>104087</v>
      </c>
      <c r="H1592" s="2">
        <v>6</v>
      </c>
      <c r="I1592" s="2" t="s">
        <v>78</v>
      </c>
      <c r="J1592" s="3">
        <v>0.216836734693877</v>
      </c>
      <c r="K1592" s="21">
        <v>1224.55294117647</v>
      </c>
      <c r="L1592" s="21">
        <v>17347.8333333333</v>
      </c>
      <c r="M1592" s="21">
        <v>65.3333333333333</v>
      </c>
      <c r="N1592" s="2" t="s">
        <v>79</v>
      </c>
    </row>
    <row r="1593" s="2" customFormat="1" spans="1:14">
      <c r="A1593" s="20">
        <v>45899</v>
      </c>
      <c r="B1593" s="2" t="s">
        <v>96</v>
      </c>
      <c r="C1593" s="2" t="s">
        <v>97</v>
      </c>
      <c r="D1593" s="2">
        <v>3</v>
      </c>
      <c r="E1593" s="2">
        <v>546</v>
      </c>
      <c r="F1593" s="2">
        <v>127</v>
      </c>
      <c r="G1593" s="2">
        <v>178956</v>
      </c>
      <c r="H1593" s="2">
        <v>8</v>
      </c>
      <c r="I1593" s="2" t="s">
        <v>78</v>
      </c>
      <c r="J1593" s="3">
        <v>0.232600732600733</v>
      </c>
      <c r="K1593" s="21">
        <v>1409.10236220472</v>
      </c>
      <c r="L1593" s="21">
        <v>22369.5</v>
      </c>
      <c r="M1593" s="21">
        <v>68.25</v>
      </c>
      <c r="N1593" s="2" t="s">
        <v>80</v>
      </c>
    </row>
    <row r="1594" s="2" customFormat="1" spans="1:14">
      <c r="A1594" s="20">
        <v>45900</v>
      </c>
      <c r="B1594" s="2" t="s">
        <v>96</v>
      </c>
      <c r="C1594" s="2" t="s">
        <v>97</v>
      </c>
      <c r="D1594" s="2">
        <v>3</v>
      </c>
      <c r="E1594" s="2">
        <v>545</v>
      </c>
      <c r="F1594" s="2">
        <v>139</v>
      </c>
      <c r="G1594" s="2">
        <v>220308</v>
      </c>
      <c r="H1594" s="2">
        <v>6</v>
      </c>
      <c r="I1594" s="2" t="s">
        <v>81</v>
      </c>
      <c r="J1594" s="3">
        <v>0.255045871559633</v>
      </c>
      <c r="K1594" s="21">
        <v>1584.94964028777</v>
      </c>
      <c r="L1594" s="21">
        <v>36718</v>
      </c>
      <c r="M1594" s="21">
        <v>90.8333333333333</v>
      </c>
      <c r="N1594" s="2" t="s">
        <v>80</v>
      </c>
    </row>
    <row r="1595" s="2" customFormat="1" spans="1:14">
      <c r="A1595" s="20">
        <v>45901</v>
      </c>
      <c r="B1595" s="2" t="s">
        <v>96</v>
      </c>
      <c r="C1595" s="2" t="s">
        <v>97</v>
      </c>
      <c r="D1595" s="2">
        <v>3</v>
      </c>
      <c r="E1595" s="2">
        <v>466</v>
      </c>
      <c r="F1595" s="2">
        <v>126</v>
      </c>
      <c r="G1595" s="2">
        <v>168222</v>
      </c>
      <c r="H1595" s="2">
        <v>9</v>
      </c>
      <c r="I1595" s="2" t="s">
        <v>78</v>
      </c>
      <c r="J1595" s="3">
        <v>0.270386266094421</v>
      </c>
      <c r="K1595" s="21">
        <v>1335.09523809524</v>
      </c>
      <c r="L1595" s="21">
        <v>18691.3333333333</v>
      </c>
      <c r="M1595" s="21">
        <v>51.7777777777778</v>
      </c>
      <c r="N1595" s="2" t="s">
        <v>79</v>
      </c>
    </row>
    <row r="1596" s="2" customFormat="1" spans="1:14">
      <c r="A1596" s="20">
        <v>45902</v>
      </c>
      <c r="B1596" s="2" t="s">
        <v>96</v>
      </c>
      <c r="C1596" s="2" t="s">
        <v>97</v>
      </c>
      <c r="D1596" s="2">
        <v>3</v>
      </c>
      <c r="E1596" s="2">
        <v>486</v>
      </c>
      <c r="F1596" s="2">
        <v>108</v>
      </c>
      <c r="G1596" s="2">
        <v>170473</v>
      </c>
      <c r="H1596" s="2">
        <v>4</v>
      </c>
      <c r="I1596" s="2" t="s">
        <v>78</v>
      </c>
      <c r="J1596" s="3">
        <v>0.222222222222222</v>
      </c>
      <c r="K1596" s="21">
        <v>1578.4537037037</v>
      </c>
      <c r="L1596" s="21">
        <v>42618.25</v>
      </c>
      <c r="M1596" s="21">
        <v>121.5</v>
      </c>
      <c r="N1596" s="2" t="s">
        <v>79</v>
      </c>
    </row>
    <row r="1597" s="2" customFormat="1" spans="1:14">
      <c r="A1597" s="20">
        <v>45903</v>
      </c>
      <c r="B1597" s="2" t="s">
        <v>96</v>
      </c>
      <c r="C1597" s="2" t="s">
        <v>97</v>
      </c>
      <c r="D1597" s="2">
        <v>3</v>
      </c>
      <c r="E1597" s="2">
        <v>391</v>
      </c>
      <c r="F1597" s="2">
        <v>93</v>
      </c>
      <c r="G1597" s="2">
        <v>116549</v>
      </c>
      <c r="H1597" s="2">
        <v>9</v>
      </c>
      <c r="I1597" s="2" t="s">
        <v>81</v>
      </c>
      <c r="J1597" s="3">
        <v>0.237851662404092</v>
      </c>
      <c r="K1597" s="21">
        <v>1253.21505376344</v>
      </c>
      <c r="L1597" s="21">
        <v>12949.8888888889</v>
      </c>
      <c r="M1597" s="21">
        <v>43.4444444444444</v>
      </c>
      <c r="N1597" s="2" t="s">
        <v>79</v>
      </c>
    </row>
    <row r="1598" s="2" customFormat="1" spans="1:14">
      <c r="A1598" s="20">
        <v>45904</v>
      </c>
      <c r="B1598" s="2" t="s">
        <v>96</v>
      </c>
      <c r="C1598" s="2" t="s">
        <v>97</v>
      </c>
      <c r="D1598" s="2">
        <v>3</v>
      </c>
      <c r="E1598" s="2">
        <v>409</v>
      </c>
      <c r="F1598" s="2">
        <v>106</v>
      </c>
      <c r="G1598" s="2">
        <v>149698</v>
      </c>
      <c r="H1598" s="2">
        <v>8</v>
      </c>
      <c r="I1598" s="2" t="s">
        <v>78</v>
      </c>
      <c r="J1598" s="3">
        <v>0.259168704156479</v>
      </c>
      <c r="K1598" s="21">
        <v>1412.24528301887</v>
      </c>
      <c r="L1598" s="21">
        <v>18712.25</v>
      </c>
      <c r="M1598" s="21">
        <v>51.125</v>
      </c>
      <c r="N1598" s="2" t="s">
        <v>79</v>
      </c>
    </row>
    <row r="1599" s="2" customFormat="1" spans="1:14">
      <c r="A1599" s="20">
        <v>45905</v>
      </c>
      <c r="B1599" s="2" t="s">
        <v>96</v>
      </c>
      <c r="C1599" s="2" t="s">
        <v>97</v>
      </c>
      <c r="D1599" s="2">
        <v>3</v>
      </c>
      <c r="E1599" s="2">
        <v>412</v>
      </c>
      <c r="F1599" s="2">
        <v>91</v>
      </c>
      <c r="G1599" s="2">
        <v>128914</v>
      </c>
      <c r="H1599" s="2">
        <v>8</v>
      </c>
      <c r="I1599" s="2" t="s">
        <v>78</v>
      </c>
      <c r="J1599" s="3">
        <v>0.220873786407767</v>
      </c>
      <c r="K1599" s="21">
        <v>1416.63736263736</v>
      </c>
      <c r="L1599" s="21">
        <v>16114.25</v>
      </c>
      <c r="M1599" s="21">
        <v>51.5</v>
      </c>
      <c r="N1599" s="2" t="s">
        <v>79</v>
      </c>
    </row>
    <row r="1600" s="2" customFormat="1" spans="1:14">
      <c r="A1600" s="20">
        <v>45906</v>
      </c>
      <c r="B1600" s="2" t="s">
        <v>96</v>
      </c>
      <c r="C1600" s="2" t="s">
        <v>97</v>
      </c>
      <c r="D1600" s="2">
        <v>3</v>
      </c>
      <c r="E1600" s="2">
        <v>574</v>
      </c>
      <c r="F1600" s="2">
        <v>138</v>
      </c>
      <c r="G1600" s="2">
        <v>218686</v>
      </c>
      <c r="H1600" s="2">
        <v>6</v>
      </c>
      <c r="I1600" s="2" t="s">
        <v>81</v>
      </c>
      <c r="J1600" s="3">
        <v>0.240418118466899</v>
      </c>
      <c r="K1600" s="21">
        <v>1584.68115942029</v>
      </c>
      <c r="L1600" s="21">
        <v>36447.6666666667</v>
      </c>
      <c r="M1600" s="21">
        <v>95.6666666666667</v>
      </c>
      <c r="N1600" s="2" t="s">
        <v>80</v>
      </c>
    </row>
    <row r="1601" s="2" customFormat="1" spans="1:14">
      <c r="A1601" s="20">
        <v>45907</v>
      </c>
      <c r="B1601" s="2" t="s">
        <v>96</v>
      </c>
      <c r="C1601" s="2" t="s">
        <v>97</v>
      </c>
      <c r="D1601" s="2">
        <v>3</v>
      </c>
      <c r="E1601" s="2">
        <v>667</v>
      </c>
      <c r="F1601" s="2">
        <v>146</v>
      </c>
      <c r="G1601" s="2">
        <v>231710</v>
      </c>
      <c r="H1601" s="2">
        <v>7</v>
      </c>
      <c r="I1601" s="2" t="s">
        <v>78</v>
      </c>
      <c r="J1601" s="3">
        <v>0.218890554722639</v>
      </c>
      <c r="K1601" s="21">
        <v>1587.05479452055</v>
      </c>
      <c r="L1601" s="21">
        <v>33101.4285714286</v>
      </c>
      <c r="M1601" s="21">
        <v>95.2857142857143</v>
      </c>
      <c r="N1601" s="2" t="s">
        <v>80</v>
      </c>
    </row>
    <row r="1602" s="2" customFormat="1" spans="1:14">
      <c r="A1602" s="20">
        <v>45908</v>
      </c>
      <c r="B1602" s="2" t="s">
        <v>96</v>
      </c>
      <c r="C1602" s="2" t="s">
        <v>97</v>
      </c>
      <c r="D1602" s="2">
        <v>3</v>
      </c>
      <c r="E1602" s="2">
        <v>400</v>
      </c>
      <c r="F1602" s="2">
        <v>93</v>
      </c>
      <c r="G1602" s="2">
        <v>147016</v>
      </c>
      <c r="H1602" s="2">
        <v>6</v>
      </c>
      <c r="I1602" s="2" t="s">
        <v>78</v>
      </c>
      <c r="J1602" s="3">
        <v>0.2325</v>
      </c>
      <c r="K1602" s="21">
        <v>1580.81720430107</v>
      </c>
      <c r="L1602" s="21">
        <v>24502.6666666667</v>
      </c>
      <c r="M1602" s="21">
        <v>66.6666666666667</v>
      </c>
      <c r="N1602" s="2" t="s">
        <v>79</v>
      </c>
    </row>
    <row r="1603" s="2" customFormat="1" spans="1:14">
      <c r="A1603" s="20">
        <v>45909</v>
      </c>
      <c r="B1603" s="2" t="s">
        <v>96</v>
      </c>
      <c r="C1603" s="2" t="s">
        <v>97</v>
      </c>
      <c r="D1603" s="2">
        <v>3</v>
      </c>
      <c r="E1603" s="2">
        <v>421</v>
      </c>
      <c r="F1603" s="2">
        <v>112</v>
      </c>
      <c r="G1603" s="2">
        <v>182097</v>
      </c>
      <c r="H1603" s="2">
        <v>8</v>
      </c>
      <c r="I1603" s="2" t="s">
        <v>78</v>
      </c>
      <c r="J1603" s="3">
        <v>0.26603325415677</v>
      </c>
      <c r="K1603" s="21">
        <v>1625.86607142857</v>
      </c>
      <c r="L1603" s="21">
        <v>22762.125</v>
      </c>
      <c r="M1603" s="21">
        <v>52.625</v>
      </c>
      <c r="N1603" s="2" t="s">
        <v>79</v>
      </c>
    </row>
    <row r="1604" s="2" customFormat="1" spans="1:14">
      <c r="A1604" s="20">
        <v>45910</v>
      </c>
      <c r="B1604" s="2" t="s">
        <v>96</v>
      </c>
      <c r="C1604" s="2" t="s">
        <v>97</v>
      </c>
      <c r="D1604" s="2">
        <v>3</v>
      </c>
      <c r="E1604" s="2">
        <v>399</v>
      </c>
      <c r="F1604" s="2">
        <v>92</v>
      </c>
      <c r="G1604" s="2">
        <v>101281</v>
      </c>
      <c r="H1604" s="2">
        <v>7</v>
      </c>
      <c r="I1604" s="2" t="s">
        <v>78</v>
      </c>
      <c r="J1604" s="3">
        <v>0.230576441102757</v>
      </c>
      <c r="K1604" s="21">
        <v>1100.88043478261</v>
      </c>
      <c r="L1604" s="21">
        <v>14468.7142857143</v>
      </c>
      <c r="M1604" s="21">
        <v>57</v>
      </c>
      <c r="N1604" s="2" t="s">
        <v>79</v>
      </c>
    </row>
    <row r="1605" s="2" customFormat="1" spans="1:14">
      <c r="A1605" s="20">
        <v>45911</v>
      </c>
      <c r="B1605" s="2" t="s">
        <v>96</v>
      </c>
      <c r="C1605" s="2" t="s">
        <v>97</v>
      </c>
      <c r="D1605" s="2">
        <v>3</v>
      </c>
      <c r="E1605" s="2">
        <v>417</v>
      </c>
      <c r="F1605" s="2">
        <v>90</v>
      </c>
      <c r="G1605" s="2">
        <v>117781</v>
      </c>
      <c r="H1605" s="2">
        <v>5</v>
      </c>
      <c r="I1605" s="2" t="s">
        <v>78</v>
      </c>
      <c r="J1605" s="3">
        <v>0.215827338129496</v>
      </c>
      <c r="K1605" s="21">
        <v>1308.67777777778</v>
      </c>
      <c r="L1605" s="21">
        <v>23556.2</v>
      </c>
      <c r="M1605" s="21">
        <v>83.4</v>
      </c>
      <c r="N1605" s="2" t="s">
        <v>79</v>
      </c>
    </row>
    <row r="1606" s="2" customFormat="1" spans="1:14">
      <c r="A1606" s="20">
        <v>45912</v>
      </c>
      <c r="B1606" s="2" t="s">
        <v>96</v>
      </c>
      <c r="C1606" s="2" t="s">
        <v>97</v>
      </c>
      <c r="D1606" s="2">
        <v>3</v>
      </c>
      <c r="E1606" s="2">
        <v>418</v>
      </c>
      <c r="F1606" s="2">
        <v>95</v>
      </c>
      <c r="G1606" s="2">
        <v>118726</v>
      </c>
      <c r="H1606" s="2">
        <v>4</v>
      </c>
      <c r="I1606" s="2" t="s">
        <v>78</v>
      </c>
      <c r="J1606" s="3">
        <v>0.227272727272727</v>
      </c>
      <c r="K1606" s="21">
        <v>1249.74736842105</v>
      </c>
      <c r="L1606" s="21">
        <v>29681.5</v>
      </c>
      <c r="M1606" s="21">
        <v>104.5</v>
      </c>
      <c r="N1606" s="2" t="s">
        <v>79</v>
      </c>
    </row>
    <row r="1607" s="2" customFormat="1" spans="1:14">
      <c r="A1607" s="20">
        <v>45913</v>
      </c>
      <c r="B1607" s="2" t="s">
        <v>96</v>
      </c>
      <c r="C1607" s="2" t="s">
        <v>97</v>
      </c>
      <c r="D1607" s="2">
        <v>3</v>
      </c>
      <c r="E1607" s="2">
        <v>819</v>
      </c>
      <c r="F1607" s="2">
        <v>201</v>
      </c>
      <c r="G1607" s="2">
        <v>291244</v>
      </c>
      <c r="H1607" s="2">
        <v>7</v>
      </c>
      <c r="I1607" s="2" t="s">
        <v>78</v>
      </c>
      <c r="J1607" s="3">
        <v>0.245421245421245</v>
      </c>
      <c r="K1607" s="21">
        <v>1448.97512437811</v>
      </c>
      <c r="L1607" s="21">
        <v>41606.2857142857</v>
      </c>
      <c r="M1607" s="21">
        <v>117</v>
      </c>
      <c r="N1607" s="2" t="s">
        <v>80</v>
      </c>
    </row>
    <row r="1608" s="2" customFormat="1" spans="1:14">
      <c r="A1608" s="20">
        <v>45914</v>
      </c>
      <c r="B1608" s="2" t="s">
        <v>96</v>
      </c>
      <c r="C1608" s="2" t="s">
        <v>97</v>
      </c>
      <c r="D1608" s="2">
        <v>3</v>
      </c>
      <c r="E1608" s="2">
        <v>661</v>
      </c>
      <c r="F1608" s="2">
        <v>150</v>
      </c>
      <c r="G1608" s="2">
        <v>221390</v>
      </c>
      <c r="H1608" s="2">
        <v>7</v>
      </c>
      <c r="I1608" s="2" t="s">
        <v>78</v>
      </c>
      <c r="J1608" s="3">
        <v>0.226928895612708</v>
      </c>
      <c r="K1608" s="21">
        <v>1475.93333333333</v>
      </c>
      <c r="L1608" s="21">
        <v>31627.1428571429</v>
      </c>
      <c r="M1608" s="21">
        <v>94.4285714285714</v>
      </c>
      <c r="N1608" s="2" t="s">
        <v>80</v>
      </c>
    </row>
    <row r="1609" s="2" customFormat="1" spans="1:14">
      <c r="A1609" s="20">
        <v>45915</v>
      </c>
      <c r="B1609" s="2" t="s">
        <v>96</v>
      </c>
      <c r="C1609" s="2" t="s">
        <v>97</v>
      </c>
      <c r="D1609" s="2">
        <v>3</v>
      </c>
      <c r="E1609" s="2">
        <v>349</v>
      </c>
      <c r="F1609" s="2">
        <v>80</v>
      </c>
      <c r="G1609" s="2">
        <v>120778</v>
      </c>
      <c r="H1609" s="2">
        <v>7</v>
      </c>
      <c r="I1609" s="2" t="s">
        <v>78</v>
      </c>
      <c r="J1609" s="3">
        <v>0.229226361031519</v>
      </c>
      <c r="K1609" s="21">
        <v>1509.725</v>
      </c>
      <c r="L1609" s="21">
        <v>17254</v>
      </c>
      <c r="M1609" s="21">
        <v>49.8571428571428</v>
      </c>
      <c r="N1609" s="2" t="s">
        <v>79</v>
      </c>
    </row>
    <row r="1610" s="2" customFormat="1" spans="1:14">
      <c r="A1610" s="20">
        <v>45916</v>
      </c>
      <c r="B1610" s="2" t="s">
        <v>96</v>
      </c>
      <c r="C1610" s="2" t="s">
        <v>97</v>
      </c>
      <c r="D1610" s="2">
        <v>3</v>
      </c>
      <c r="E1610" s="2">
        <v>420</v>
      </c>
      <c r="F1610" s="2">
        <v>103</v>
      </c>
      <c r="G1610" s="2">
        <v>142865</v>
      </c>
      <c r="H1610" s="2">
        <v>6</v>
      </c>
      <c r="I1610" s="2" t="s">
        <v>78</v>
      </c>
      <c r="J1610" s="3">
        <v>0.245238095238095</v>
      </c>
      <c r="K1610" s="21">
        <v>1387.03883495146</v>
      </c>
      <c r="L1610" s="21">
        <v>23810.8333333333</v>
      </c>
      <c r="M1610" s="21">
        <v>70</v>
      </c>
      <c r="N1610" s="2" t="s">
        <v>79</v>
      </c>
    </row>
    <row r="1611" s="2" customFormat="1" spans="1:14">
      <c r="A1611" s="20">
        <v>45917</v>
      </c>
      <c r="B1611" s="2" t="s">
        <v>96</v>
      </c>
      <c r="C1611" s="2" t="s">
        <v>97</v>
      </c>
      <c r="D1611" s="2">
        <v>3</v>
      </c>
      <c r="E1611" s="2">
        <v>342</v>
      </c>
      <c r="F1611" s="2">
        <v>83</v>
      </c>
      <c r="G1611" s="2">
        <v>94046</v>
      </c>
      <c r="H1611" s="2">
        <v>4</v>
      </c>
      <c r="I1611" s="2" t="s">
        <v>78</v>
      </c>
      <c r="J1611" s="3">
        <v>0.242690058479532</v>
      </c>
      <c r="K1611" s="21">
        <v>1133.0843373494</v>
      </c>
      <c r="L1611" s="21">
        <v>23511.5</v>
      </c>
      <c r="M1611" s="21">
        <v>85.5</v>
      </c>
      <c r="N1611" s="2" t="s">
        <v>79</v>
      </c>
    </row>
    <row r="1612" s="2" customFormat="1" spans="1:14">
      <c r="A1612" s="20">
        <v>45918</v>
      </c>
      <c r="B1612" s="2" t="s">
        <v>96</v>
      </c>
      <c r="C1612" s="2" t="s">
        <v>97</v>
      </c>
      <c r="D1612" s="2">
        <v>3</v>
      </c>
      <c r="E1612" s="2">
        <v>397</v>
      </c>
      <c r="F1612" s="2">
        <v>83</v>
      </c>
      <c r="G1612" s="2">
        <v>136529</v>
      </c>
      <c r="H1612" s="2">
        <v>4</v>
      </c>
      <c r="I1612" s="2" t="s">
        <v>81</v>
      </c>
      <c r="J1612" s="3">
        <v>0.209068010075567</v>
      </c>
      <c r="K1612" s="21">
        <v>1644.92771084337</v>
      </c>
      <c r="L1612" s="21">
        <v>34132.25</v>
      </c>
      <c r="M1612" s="21">
        <v>99.25</v>
      </c>
      <c r="N1612" s="2" t="s">
        <v>79</v>
      </c>
    </row>
    <row r="1613" s="2" customFormat="1" spans="1:14">
      <c r="A1613" s="20">
        <v>45919</v>
      </c>
      <c r="B1613" s="2" t="s">
        <v>96</v>
      </c>
      <c r="C1613" s="2" t="s">
        <v>97</v>
      </c>
      <c r="D1613" s="2">
        <v>3</v>
      </c>
      <c r="E1613" s="2">
        <v>448</v>
      </c>
      <c r="F1613" s="2">
        <v>106</v>
      </c>
      <c r="G1613" s="2">
        <v>146942</v>
      </c>
      <c r="H1613" s="2">
        <v>4</v>
      </c>
      <c r="I1613" s="2" t="s">
        <v>78</v>
      </c>
      <c r="J1613" s="3">
        <v>0.236607142857143</v>
      </c>
      <c r="K1613" s="21">
        <v>1386.24528301887</v>
      </c>
      <c r="L1613" s="21">
        <v>36735.5</v>
      </c>
      <c r="M1613" s="21">
        <v>112</v>
      </c>
      <c r="N1613" s="2" t="s">
        <v>79</v>
      </c>
    </row>
    <row r="1614" s="2" customFormat="1" spans="1:14">
      <c r="A1614" s="20">
        <v>45920</v>
      </c>
      <c r="B1614" s="2" t="s">
        <v>96</v>
      </c>
      <c r="C1614" s="2" t="s">
        <v>97</v>
      </c>
      <c r="D1614" s="2">
        <v>3</v>
      </c>
      <c r="E1614" s="2">
        <v>629</v>
      </c>
      <c r="F1614" s="2">
        <v>138</v>
      </c>
      <c r="G1614" s="2">
        <v>198184</v>
      </c>
      <c r="H1614" s="2">
        <v>6</v>
      </c>
      <c r="I1614" s="2" t="s">
        <v>78</v>
      </c>
      <c r="J1614" s="3">
        <v>0.21939586645469</v>
      </c>
      <c r="K1614" s="21">
        <v>1436.11594202899</v>
      </c>
      <c r="L1614" s="21">
        <v>33030.6666666667</v>
      </c>
      <c r="M1614" s="21">
        <v>104.833333333333</v>
      </c>
      <c r="N1614" s="2" t="s">
        <v>80</v>
      </c>
    </row>
    <row r="1615" s="2" customFormat="1" spans="1:14">
      <c r="A1615" s="20">
        <v>45921</v>
      </c>
      <c r="B1615" s="2" t="s">
        <v>96</v>
      </c>
      <c r="C1615" s="2" t="s">
        <v>97</v>
      </c>
      <c r="D1615" s="2">
        <v>3</v>
      </c>
      <c r="E1615" s="2">
        <v>687</v>
      </c>
      <c r="F1615" s="2">
        <v>170</v>
      </c>
      <c r="G1615" s="2">
        <v>244718</v>
      </c>
      <c r="H1615" s="2">
        <v>5</v>
      </c>
      <c r="I1615" s="2" t="s">
        <v>78</v>
      </c>
      <c r="J1615" s="3">
        <v>0.24745269286754</v>
      </c>
      <c r="K1615" s="21">
        <v>1439.51764705882</v>
      </c>
      <c r="L1615" s="21">
        <v>48943.6</v>
      </c>
      <c r="M1615" s="21">
        <v>137.4</v>
      </c>
      <c r="N1615" s="2" t="s">
        <v>80</v>
      </c>
    </row>
    <row r="1616" s="2" customFormat="1" spans="1:14">
      <c r="A1616" s="20">
        <v>45922</v>
      </c>
      <c r="B1616" s="2" t="s">
        <v>96</v>
      </c>
      <c r="C1616" s="2" t="s">
        <v>97</v>
      </c>
      <c r="D1616" s="2">
        <v>3</v>
      </c>
      <c r="E1616" s="2">
        <v>511</v>
      </c>
      <c r="F1616" s="2">
        <v>111</v>
      </c>
      <c r="G1616" s="2">
        <v>122404</v>
      </c>
      <c r="H1616" s="2">
        <v>5</v>
      </c>
      <c r="I1616" s="2" t="s">
        <v>78</v>
      </c>
      <c r="J1616" s="3">
        <v>0.217221135029354</v>
      </c>
      <c r="K1616" s="21">
        <v>1102.73873873874</v>
      </c>
      <c r="L1616" s="21">
        <v>24480.8</v>
      </c>
      <c r="M1616" s="21">
        <v>102.2</v>
      </c>
      <c r="N1616" s="2" t="s">
        <v>79</v>
      </c>
    </row>
    <row r="1617" s="2" customFormat="1" spans="1:14">
      <c r="A1617" s="20">
        <v>45923</v>
      </c>
      <c r="B1617" s="2" t="s">
        <v>96</v>
      </c>
      <c r="C1617" s="2" t="s">
        <v>97</v>
      </c>
      <c r="D1617" s="2">
        <v>3</v>
      </c>
      <c r="E1617" s="2">
        <v>484</v>
      </c>
      <c r="F1617" s="2">
        <v>117</v>
      </c>
      <c r="G1617" s="2">
        <v>192290</v>
      </c>
      <c r="H1617" s="2">
        <v>8</v>
      </c>
      <c r="I1617" s="2" t="s">
        <v>78</v>
      </c>
      <c r="J1617" s="3">
        <v>0.241735537190083</v>
      </c>
      <c r="K1617" s="21">
        <v>1643.50427350427</v>
      </c>
      <c r="L1617" s="21">
        <v>24036.25</v>
      </c>
      <c r="M1617" s="21">
        <v>60.5</v>
      </c>
      <c r="N1617" s="2" t="s">
        <v>79</v>
      </c>
    </row>
    <row r="1618" s="2" customFormat="1" spans="1:14">
      <c r="A1618" s="20">
        <v>45924</v>
      </c>
      <c r="B1618" s="2" t="s">
        <v>96</v>
      </c>
      <c r="C1618" s="2" t="s">
        <v>97</v>
      </c>
      <c r="D1618" s="2">
        <v>3</v>
      </c>
      <c r="E1618" s="2">
        <v>466</v>
      </c>
      <c r="F1618" s="2">
        <v>108</v>
      </c>
      <c r="G1618" s="2">
        <v>170234</v>
      </c>
      <c r="H1618" s="2">
        <v>7</v>
      </c>
      <c r="I1618" s="2" t="s">
        <v>78</v>
      </c>
      <c r="J1618" s="3">
        <v>0.231759656652361</v>
      </c>
      <c r="K1618" s="21">
        <v>1576.24074074074</v>
      </c>
      <c r="L1618" s="21">
        <v>24319.1428571429</v>
      </c>
      <c r="M1618" s="21">
        <v>66.5714285714286</v>
      </c>
      <c r="N1618" s="2" t="s">
        <v>79</v>
      </c>
    </row>
    <row r="1619" s="2" customFormat="1" spans="1:14">
      <c r="A1619" s="20">
        <v>45925</v>
      </c>
      <c r="B1619" s="2" t="s">
        <v>96</v>
      </c>
      <c r="C1619" s="2" t="s">
        <v>97</v>
      </c>
      <c r="D1619" s="2">
        <v>3</v>
      </c>
      <c r="E1619" s="2">
        <v>413</v>
      </c>
      <c r="F1619" s="2">
        <v>90</v>
      </c>
      <c r="G1619" s="2">
        <v>152994</v>
      </c>
      <c r="H1619" s="2">
        <v>6</v>
      </c>
      <c r="I1619" s="2" t="s">
        <v>78</v>
      </c>
      <c r="J1619" s="3">
        <v>0.217917675544794</v>
      </c>
      <c r="K1619" s="21">
        <v>1699.93333333333</v>
      </c>
      <c r="L1619" s="21">
        <v>25499</v>
      </c>
      <c r="M1619" s="21">
        <v>68.8333333333333</v>
      </c>
      <c r="N1619" s="2" t="s">
        <v>79</v>
      </c>
    </row>
    <row r="1620" s="2" customFormat="1" spans="1:14">
      <c r="A1620" s="20">
        <v>45926</v>
      </c>
      <c r="B1620" s="2" t="s">
        <v>96</v>
      </c>
      <c r="C1620" s="2" t="s">
        <v>97</v>
      </c>
      <c r="D1620" s="2">
        <v>3</v>
      </c>
      <c r="E1620" s="2">
        <v>489</v>
      </c>
      <c r="F1620" s="2">
        <v>115</v>
      </c>
      <c r="G1620" s="2">
        <v>170492</v>
      </c>
      <c r="H1620" s="2">
        <v>9</v>
      </c>
      <c r="I1620" s="2" t="s">
        <v>78</v>
      </c>
      <c r="J1620" s="3">
        <v>0.235173824130879</v>
      </c>
      <c r="K1620" s="21">
        <v>1482.53913043478</v>
      </c>
      <c r="L1620" s="21">
        <v>18943.5555555556</v>
      </c>
      <c r="M1620" s="21">
        <v>54.3333333333333</v>
      </c>
      <c r="N1620" s="2" t="s">
        <v>79</v>
      </c>
    </row>
    <row r="1621" s="2" customFormat="1" spans="1:14">
      <c r="A1621" s="20">
        <v>45927</v>
      </c>
      <c r="B1621" s="2" t="s">
        <v>96</v>
      </c>
      <c r="C1621" s="2" t="s">
        <v>97</v>
      </c>
      <c r="D1621" s="2">
        <v>3</v>
      </c>
      <c r="E1621" s="2">
        <v>731</v>
      </c>
      <c r="F1621" s="2">
        <v>189</v>
      </c>
      <c r="G1621" s="2">
        <v>316163</v>
      </c>
      <c r="H1621" s="2">
        <v>7</v>
      </c>
      <c r="I1621" s="2" t="s">
        <v>78</v>
      </c>
      <c r="J1621" s="3">
        <v>0.258549931600547</v>
      </c>
      <c r="K1621" s="21">
        <v>1672.82010582011</v>
      </c>
      <c r="L1621" s="21">
        <v>45166.1428571429</v>
      </c>
      <c r="M1621" s="21">
        <v>104.428571428571</v>
      </c>
      <c r="N1621" s="2" t="s">
        <v>80</v>
      </c>
    </row>
    <row r="1622" s="2" customFormat="1" spans="1:14">
      <c r="A1622" s="20">
        <v>45748</v>
      </c>
      <c r="B1622" s="2" t="s">
        <v>98</v>
      </c>
      <c r="C1622" s="2" t="s">
        <v>99</v>
      </c>
      <c r="D1622" s="2">
        <v>1</v>
      </c>
      <c r="E1622" s="2">
        <v>964</v>
      </c>
      <c r="F1622" s="2">
        <v>136</v>
      </c>
      <c r="G1622" s="2">
        <v>214448</v>
      </c>
      <c r="H1622" s="2">
        <v>5</v>
      </c>
      <c r="I1622" s="2" t="s">
        <v>78</v>
      </c>
      <c r="J1622" s="3">
        <v>0.141078838174274</v>
      </c>
      <c r="K1622" s="21">
        <v>1576.82352941177</v>
      </c>
      <c r="L1622" s="21">
        <v>42889.6</v>
      </c>
      <c r="M1622" s="21">
        <v>192.8</v>
      </c>
      <c r="N1622" s="2" t="s">
        <v>79</v>
      </c>
    </row>
    <row r="1623" s="2" customFormat="1" spans="1:14">
      <c r="A1623" s="20">
        <v>45749</v>
      </c>
      <c r="B1623" s="2" t="s">
        <v>98</v>
      </c>
      <c r="C1623" s="2" t="s">
        <v>99</v>
      </c>
      <c r="D1623" s="2">
        <v>1</v>
      </c>
      <c r="E1623" s="2">
        <v>923</v>
      </c>
      <c r="F1623" s="2">
        <v>115</v>
      </c>
      <c r="G1623" s="2">
        <v>193969</v>
      </c>
      <c r="H1623" s="2">
        <v>5</v>
      </c>
      <c r="I1623" s="2" t="s">
        <v>81</v>
      </c>
      <c r="J1623" s="3">
        <v>0.124593716143012</v>
      </c>
      <c r="K1623" s="21">
        <v>1686.68695652174</v>
      </c>
      <c r="L1623" s="21">
        <v>38793.8</v>
      </c>
      <c r="M1623" s="21">
        <v>184.6</v>
      </c>
      <c r="N1623" s="2" t="s">
        <v>79</v>
      </c>
    </row>
    <row r="1624" s="2" customFormat="1" spans="1:14">
      <c r="A1624" s="20">
        <v>45750</v>
      </c>
      <c r="B1624" s="2" t="s">
        <v>98</v>
      </c>
      <c r="C1624" s="2" t="s">
        <v>99</v>
      </c>
      <c r="D1624" s="2">
        <v>1</v>
      </c>
      <c r="E1624" s="2">
        <v>915</v>
      </c>
      <c r="F1624" s="2">
        <v>122</v>
      </c>
      <c r="G1624" s="2">
        <v>174162</v>
      </c>
      <c r="H1624" s="2">
        <v>8</v>
      </c>
      <c r="I1624" s="2" t="s">
        <v>81</v>
      </c>
      <c r="J1624" s="3">
        <v>0.133333333333333</v>
      </c>
      <c r="K1624" s="21">
        <v>1427.55737704918</v>
      </c>
      <c r="L1624" s="21">
        <v>21770.25</v>
      </c>
      <c r="M1624" s="21">
        <v>114.375</v>
      </c>
      <c r="N1624" s="2" t="s">
        <v>79</v>
      </c>
    </row>
    <row r="1625" s="2" customFormat="1" spans="1:14">
      <c r="A1625" s="20">
        <v>45751</v>
      </c>
      <c r="B1625" s="2" t="s">
        <v>98</v>
      </c>
      <c r="C1625" s="2" t="s">
        <v>99</v>
      </c>
      <c r="D1625" s="2">
        <v>1</v>
      </c>
      <c r="E1625" s="2">
        <v>805</v>
      </c>
      <c r="F1625" s="2">
        <v>103</v>
      </c>
      <c r="G1625" s="2">
        <v>134769</v>
      </c>
      <c r="H1625" s="2">
        <v>9</v>
      </c>
      <c r="I1625" s="2" t="s">
        <v>78</v>
      </c>
      <c r="J1625" s="3">
        <v>0.127950310559006</v>
      </c>
      <c r="K1625" s="21">
        <v>1308.43689320388</v>
      </c>
      <c r="L1625" s="21">
        <v>14974.3333333333</v>
      </c>
      <c r="M1625" s="21">
        <v>89.4444444444444</v>
      </c>
      <c r="N1625" s="2" t="s">
        <v>79</v>
      </c>
    </row>
    <row r="1626" s="2" customFormat="1" spans="1:14">
      <c r="A1626" s="20">
        <v>45752</v>
      </c>
      <c r="B1626" s="2" t="s">
        <v>98</v>
      </c>
      <c r="C1626" s="2" t="s">
        <v>99</v>
      </c>
      <c r="D1626" s="2">
        <v>1</v>
      </c>
      <c r="E1626" s="2">
        <v>1043</v>
      </c>
      <c r="F1626" s="2">
        <v>126</v>
      </c>
      <c r="G1626" s="2">
        <v>178379</v>
      </c>
      <c r="H1626" s="2">
        <v>6</v>
      </c>
      <c r="I1626" s="2" t="s">
        <v>78</v>
      </c>
      <c r="J1626" s="3">
        <v>0.120805369127517</v>
      </c>
      <c r="K1626" s="21">
        <v>1415.70634920635</v>
      </c>
      <c r="L1626" s="21">
        <v>29729.8333333333</v>
      </c>
      <c r="M1626" s="21">
        <v>173.833333333333</v>
      </c>
      <c r="N1626" s="2" t="s">
        <v>80</v>
      </c>
    </row>
    <row r="1627" s="2" customFormat="1" spans="1:14">
      <c r="A1627" s="20">
        <v>45753</v>
      </c>
      <c r="B1627" s="2" t="s">
        <v>98</v>
      </c>
      <c r="C1627" s="2" t="s">
        <v>99</v>
      </c>
      <c r="D1627" s="2">
        <v>1</v>
      </c>
      <c r="E1627" s="2">
        <v>1304</v>
      </c>
      <c r="F1627" s="2">
        <v>182</v>
      </c>
      <c r="G1627" s="2">
        <v>232925</v>
      </c>
      <c r="H1627" s="2">
        <v>9</v>
      </c>
      <c r="I1627" s="2" t="s">
        <v>78</v>
      </c>
      <c r="J1627" s="3">
        <v>0.139570552147239</v>
      </c>
      <c r="K1627" s="21">
        <v>1279.80769230769</v>
      </c>
      <c r="L1627" s="21">
        <v>25880.5555555556</v>
      </c>
      <c r="M1627" s="21">
        <v>144.888888888889</v>
      </c>
      <c r="N1627" s="2" t="s">
        <v>80</v>
      </c>
    </row>
    <row r="1628" s="2" customFormat="1" spans="1:14">
      <c r="A1628" s="20">
        <v>45754</v>
      </c>
      <c r="B1628" s="2" t="s">
        <v>98</v>
      </c>
      <c r="C1628" s="2" t="s">
        <v>99</v>
      </c>
      <c r="D1628" s="2">
        <v>1</v>
      </c>
      <c r="E1628" s="2">
        <v>742</v>
      </c>
      <c r="F1628" s="2">
        <v>93</v>
      </c>
      <c r="G1628" s="2">
        <v>134627</v>
      </c>
      <c r="H1628" s="2">
        <v>4</v>
      </c>
      <c r="I1628" s="2" t="s">
        <v>78</v>
      </c>
      <c r="J1628" s="3">
        <v>0.12533692722372</v>
      </c>
      <c r="K1628" s="21">
        <v>1447.60215053763</v>
      </c>
      <c r="L1628" s="21">
        <v>33656.75</v>
      </c>
      <c r="M1628" s="21">
        <v>185.5</v>
      </c>
      <c r="N1628" s="2" t="s">
        <v>79</v>
      </c>
    </row>
    <row r="1629" s="2" customFormat="1" spans="1:14">
      <c r="A1629" s="20">
        <v>45755</v>
      </c>
      <c r="B1629" s="2" t="s">
        <v>98</v>
      </c>
      <c r="C1629" s="2" t="s">
        <v>99</v>
      </c>
      <c r="D1629" s="2">
        <v>1</v>
      </c>
      <c r="E1629" s="2">
        <v>890</v>
      </c>
      <c r="F1629" s="2">
        <v>108</v>
      </c>
      <c r="G1629" s="2">
        <v>140574</v>
      </c>
      <c r="H1629" s="2">
        <v>5</v>
      </c>
      <c r="I1629" s="2" t="s">
        <v>78</v>
      </c>
      <c r="J1629" s="3">
        <v>0.121348314606742</v>
      </c>
      <c r="K1629" s="21">
        <v>1301.61111111111</v>
      </c>
      <c r="L1629" s="21">
        <v>28114.8</v>
      </c>
      <c r="M1629" s="21">
        <v>178</v>
      </c>
      <c r="N1629" s="2" t="s">
        <v>79</v>
      </c>
    </row>
    <row r="1630" s="2" customFormat="1" spans="1:14">
      <c r="A1630" s="20">
        <v>45756</v>
      </c>
      <c r="B1630" s="2" t="s">
        <v>98</v>
      </c>
      <c r="C1630" s="2" t="s">
        <v>99</v>
      </c>
      <c r="D1630" s="2">
        <v>1</v>
      </c>
      <c r="E1630" s="2">
        <v>855</v>
      </c>
      <c r="F1630" s="2">
        <v>116</v>
      </c>
      <c r="G1630" s="2">
        <v>195316</v>
      </c>
      <c r="H1630" s="2">
        <v>6</v>
      </c>
      <c r="I1630" s="2" t="s">
        <v>78</v>
      </c>
      <c r="J1630" s="3">
        <v>0.135672514619883</v>
      </c>
      <c r="K1630" s="21">
        <v>1683.75862068965</v>
      </c>
      <c r="L1630" s="21">
        <v>32552.6666666667</v>
      </c>
      <c r="M1630" s="21">
        <v>142.5</v>
      </c>
      <c r="N1630" s="2" t="s">
        <v>79</v>
      </c>
    </row>
    <row r="1631" s="2" customFormat="1" spans="1:14">
      <c r="A1631" s="20">
        <v>45757</v>
      </c>
      <c r="B1631" s="2" t="s">
        <v>98</v>
      </c>
      <c r="C1631" s="2" t="s">
        <v>99</v>
      </c>
      <c r="D1631" s="2">
        <v>1</v>
      </c>
      <c r="E1631" s="2">
        <v>1026</v>
      </c>
      <c r="F1631" s="2">
        <v>151</v>
      </c>
      <c r="G1631" s="2">
        <v>190522</v>
      </c>
      <c r="H1631" s="2">
        <v>9</v>
      </c>
      <c r="I1631" s="2" t="s">
        <v>78</v>
      </c>
      <c r="J1631" s="3">
        <v>0.147173489278752</v>
      </c>
      <c r="K1631" s="21">
        <v>1261.73509933775</v>
      </c>
      <c r="L1631" s="21">
        <v>21169.1111111111</v>
      </c>
      <c r="M1631" s="21">
        <v>114</v>
      </c>
      <c r="N1631" s="2" t="s">
        <v>79</v>
      </c>
    </row>
    <row r="1632" s="2" customFormat="1" spans="1:14">
      <c r="A1632" s="20">
        <v>45758</v>
      </c>
      <c r="B1632" s="2" t="s">
        <v>98</v>
      </c>
      <c r="C1632" s="2" t="s">
        <v>99</v>
      </c>
      <c r="D1632" s="2">
        <v>1</v>
      </c>
      <c r="E1632" s="2">
        <v>937</v>
      </c>
      <c r="F1632" s="2">
        <v>126</v>
      </c>
      <c r="G1632" s="2">
        <v>153028</v>
      </c>
      <c r="H1632" s="2">
        <v>6</v>
      </c>
      <c r="I1632" s="2" t="s">
        <v>78</v>
      </c>
      <c r="J1632" s="3">
        <v>0.134471718249733</v>
      </c>
      <c r="K1632" s="21">
        <v>1214.50793650794</v>
      </c>
      <c r="L1632" s="21">
        <v>25504.6666666667</v>
      </c>
      <c r="M1632" s="21">
        <v>156.166666666667</v>
      </c>
      <c r="N1632" s="2" t="s">
        <v>79</v>
      </c>
    </row>
    <row r="1633" s="2" customFormat="1" spans="1:14">
      <c r="A1633" s="20">
        <v>45759</v>
      </c>
      <c r="B1633" s="2" t="s">
        <v>98</v>
      </c>
      <c r="C1633" s="2" t="s">
        <v>99</v>
      </c>
      <c r="D1633" s="2">
        <v>1</v>
      </c>
      <c r="E1633" s="2">
        <v>1284</v>
      </c>
      <c r="F1633" s="2">
        <v>193</v>
      </c>
      <c r="G1633" s="2">
        <v>224382</v>
      </c>
      <c r="H1633" s="2">
        <v>9</v>
      </c>
      <c r="I1633" s="2" t="s">
        <v>78</v>
      </c>
      <c r="J1633" s="3">
        <v>0.150311526479751</v>
      </c>
      <c r="K1633" s="21">
        <v>1162.60103626943</v>
      </c>
      <c r="L1633" s="21">
        <v>24931.3333333333</v>
      </c>
      <c r="M1633" s="21">
        <v>142.666666666667</v>
      </c>
      <c r="N1633" s="2" t="s">
        <v>80</v>
      </c>
    </row>
    <row r="1634" s="2" customFormat="1" spans="1:14">
      <c r="A1634" s="20">
        <v>45760</v>
      </c>
      <c r="B1634" s="2" t="s">
        <v>98</v>
      </c>
      <c r="C1634" s="2" t="s">
        <v>99</v>
      </c>
      <c r="D1634" s="2">
        <v>1</v>
      </c>
      <c r="E1634" s="2">
        <v>1184</v>
      </c>
      <c r="F1634" s="2">
        <v>148</v>
      </c>
      <c r="G1634" s="2">
        <v>234244</v>
      </c>
      <c r="H1634" s="2">
        <v>6</v>
      </c>
      <c r="I1634" s="2" t="s">
        <v>81</v>
      </c>
      <c r="J1634" s="3">
        <v>0.125</v>
      </c>
      <c r="K1634" s="21">
        <v>1582.72972972973</v>
      </c>
      <c r="L1634" s="21">
        <v>39040.6666666667</v>
      </c>
      <c r="M1634" s="21">
        <v>197.333333333333</v>
      </c>
      <c r="N1634" s="2" t="s">
        <v>80</v>
      </c>
    </row>
    <row r="1635" s="2" customFormat="1" spans="1:14">
      <c r="A1635" s="20">
        <v>45761</v>
      </c>
      <c r="B1635" s="2" t="s">
        <v>98</v>
      </c>
      <c r="C1635" s="2" t="s">
        <v>99</v>
      </c>
      <c r="D1635" s="2">
        <v>1</v>
      </c>
      <c r="E1635" s="2">
        <v>845</v>
      </c>
      <c r="F1635" s="2">
        <v>109</v>
      </c>
      <c r="G1635" s="2">
        <v>129202</v>
      </c>
      <c r="H1635" s="2">
        <v>4</v>
      </c>
      <c r="I1635" s="2" t="s">
        <v>78</v>
      </c>
      <c r="J1635" s="3">
        <v>0.128994082840237</v>
      </c>
      <c r="K1635" s="21">
        <v>1185.33944954128</v>
      </c>
      <c r="L1635" s="21">
        <v>32300.5</v>
      </c>
      <c r="M1635" s="21">
        <v>211.25</v>
      </c>
      <c r="N1635" s="2" t="s">
        <v>79</v>
      </c>
    </row>
    <row r="1636" s="2" customFormat="1" spans="1:14">
      <c r="A1636" s="20">
        <v>45762</v>
      </c>
      <c r="B1636" s="2" t="s">
        <v>98</v>
      </c>
      <c r="C1636" s="2" t="s">
        <v>99</v>
      </c>
      <c r="D1636" s="2">
        <v>1</v>
      </c>
      <c r="E1636" s="2">
        <v>882</v>
      </c>
      <c r="F1636" s="2">
        <v>132</v>
      </c>
      <c r="G1636" s="2">
        <v>174427</v>
      </c>
      <c r="H1636" s="2">
        <v>7</v>
      </c>
      <c r="I1636" s="2" t="s">
        <v>78</v>
      </c>
      <c r="J1636" s="3">
        <v>0.149659863945578</v>
      </c>
      <c r="K1636" s="21">
        <v>1321.41666666667</v>
      </c>
      <c r="L1636" s="21">
        <v>24918.1428571429</v>
      </c>
      <c r="M1636" s="21">
        <v>126</v>
      </c>
      <c r="N1636" s="2" t="s">
        <v>79</v>
      </c>
    </row>
    <row r="1637" s="2" customFormat="1" spans="1:14">
      <c r="A1637" s="20">
        <v>45763</v>
      </c>
      <c r="B1637" s="2" t="s">
        <v>98</v>
      </c>
      <c r="C1637" s="2" t="s">
        <v>99</v>
      </c>
      <c r="D1637" s="2">
        <v>1</v>
      </c>
      <c r="E1637" s="2">
        <v>920</v>
      </c>
      <c r="F1637" s="2">
        <v>110</v>
      </c>
      <c r="G1637" s="2">
        <v>186720</v>
      </c>
      <c r="H1637" s="2">
        <v>4</v>
      </c>
      <c r="I1637" s="2" t="s">
        <v>78</v>
      </c>
      <c r="J1637" s="3">
        <v>0.119565217391304</v>
      </c>
      <c r="K1637" s="21">
        <v>1697.45454545455</v>
      </c>
      <c r="L1637" s="21">
        <v>46680</v>
      </c>
      <c r="M1637" s="21">
        <v>230</v>
      </c>
      <c r="N1637" s="2" t="s">
        <v>79</v>
      </c>
    </row>
    <row r="1638" s="2" customFormat="1" spans="1:14">
      <c r="A1638" s="20">
        <v>45764</v>
      </c>
      <c r="B1638" s="2" t="s">
        <v>98</v>
      </c>
      <c r="C1638" s="2" t="s">
        <v>99</v>
      </c>
      <c r="D1638" s="2">
        <v>1</v>
      </c>
      <c r="E1638" s="2">
        <v>723</v>
      </c>
      <c r="F1638" s="2">
        <v>99</v>
      </c>
      <c r="G1638" s="2">
        <v>165034</v>
      </c>
      <c r="H1638" s="2">
        <v>7</v>
      </c>
      <c r="I1638" s="2" t="s">
        <v>78</v>
      </c>
      <c r="J1638" s="3">
        <v>0.136929460580913</v>
      </c>
      <c r="K1638" s="21">
        <v>1667.0101010101</v>
      </c>
      <c r="L1638" s="21">
        <v>23576.2857142857</v>
      </c>
      <c r="M1638" s="21">
        <v>103.285714285714</v>
      </c>
      <c r="N1638" s="2" t="s">
        <v>79</v>
      </c>
    </row>
    <row r="1639" s="2" customFormat="1" spans="1:14">
      <c r="A1639" s="20">
        <v>45765</v>
      </c>
      <c r="B1639" s="2" t="s">
        <v>98</v>
      </c>
      <c r="C1639" s="2" t="s">
        <v>99</v>
      </c>
      <c r="D1639" s="2">
        <v>1</v>
      </c>
      <c r="E1639" s="2">
        <v>1052</v>
      </c>
      <c r="F1639" s="2">
        <v>135</v>
      </c>
      <c r="G1639" s="2">
        <v>205237</v>
      </c>
      <c r="H1639" s="2">
        <v>9</v>
      </c>
      <c r="I1639" s="2" t="s">
        <v>78</v>
      </c>
      <c r="J1639" s="3">
        <v>0.128326996197719</v>
      </c>
      <c r="K1639" s="21">
        <v>1520.27407407407</v>
      </c>
      <c r="L1639" s="21">
        <v>22804.1111111111</v>
      </c>
      <c r="M1639" s="21">
        <v>116.888888888889</v>
      </c>
      <c r="N1639" s="2" t="s">
        <v>79</v>
      </c>
    </row>
    <row r="1640" s="2" customFormat="1" spans="1:14">
      <c r="A1640" s="20">
        <v>45766</v>
      </c>
      <c r="B1640" s="2" t="s">
        <v>98</v>
      </c>
      <c r="C1640" s="2" t="s">
        <v>99</v>
      </c>
      <c r="D1640" s="2">
        <v>1</v>
      </c>
      <c r="E1640" s="2">
        <v>1229</v>
      </c>
      <c r="F1640" s="2">
        <v>167</v>
      </c>
      <c r="G1640" s="2">
        <v>268963</v>
      </c>
      <c r="H1640" s="2">
        <v>4</v>
      </c>
      <c r="I1640" s="2" t="s">
        <v>78</v>
      </c>
      <c r="J1640" s="3">
        <v>0.135882831570382</v>
      </c>
      <c r="K1640" s="21">
        <v>1610.55688622754</v>
      </c>
      <c r="L1640" s="21">
        <v>67240.75</v>
      </c>
      <c r="M1640" s="21">
        <v>307.25</v>
      </c>
      <c r="N1640" s="2" t="s">
        <v>80</v>
      </c>
    </row>
    <row r="1641" s="2" customFormat="1" spans="1:14">
      <c r="A1641" s="20">
        <v>45767</v>
      </c>
      <c r="B1641" s="2" t="s">
        <v>98</v>
      </c>
      <c r="C1641" s="2" t="s">
        <v>99</v>
      </c>
      <c r="D1641" s="2">
        <v>1</v>
      </c>
      <c r="E1641" s="2">
        <v>1274</v>
      </c>
      <c r="F1641" s="2">
        <v>147</v>
      </c>
      <c r="G1641" s="2">
        <v>177870</v>
      </c>
      <c r="H1641" s="2">
        <v>4</v>
      </c>
      <c r="I1641" s="2" t="s">
        <v>81</v>
      </c>
      <c r="J1641" s="3">
        <v>0.115384615384615</v>
      </c>
      <c r="K1641" s="21">
        <v>1210</v>
      </c>
      <c r="L1641" s="21">
        <v>44467.5</v>
      </c>
      <c r="M1641" s="21">
        <v>318.5</v>
      </c>
      <c r="N1641" s="2" t="s">
        <v>80</v>
      </c>
    </row>
    <row r="1642" s="2" customFormat="1" spans="1:14">
      <c r="A1642" s="20">
        <v>45768</v>
      </c>
      <c r="B1642" s="2" t="s">
        <v>98</v>
      </c>
      <c r="C1642" s="2" t="s">
        <v>99</v>
      </c>
      <c r="D1642" s="2">
        <v>1</v>
      </c>
      <c r="E1642" s="2">
        <v>773</v>
      </c>
      <c r="F1642" s="2">
        <v>101</v>
      </c>
      <c r="G1642" s="2">
        <v>111553</v>
      </c>
      <c r="H1642" s="2">
        <v>5</v>
      </c>
      <c r="I1642" s="2" t="s">
        <v>78</v>
      </c>
      <c r="J1642" s="3">
        <v>0.130659767141009</v>
      </c>
      <c r="K1642" s="21">
        <v>1104.48514851485</v>
      </c>
      <c r="L1642" s="21">
        <v>22310.6</v>
      </c>
      <c r="M1642" s="21">
        <v>154.6</v>
      </c>
      <c r="N1642" s="2" t="s">
        <v>79</v>
      </c>
    </row>
    <row r="1643" s="2" customFormat="1" spans="1:14">
      <c r="A1643" s="20">
        <v>45769</v>
      </c>
      <c r="B1643" s="2" t="s">
        <v>98</v>
      </c>
      <c r="C1643" s="2" t="s">
        <v>99</v>
      </c>
      <c r="D1643" s="2">
        <v>1</v>
      </c>
      <c r="E1643" s="2">
        <v>773</v>
      </c>
      <c r="F1643" s="2">
        <v>105</v>
      </c>
      <c r="G1643" s="2">
        <v>123755</v>
      </c>
      <c r="H1643" s="2">
        <v>4</v>
      </c>
      <c r="I1643" s="2" t="s">
        <v>78</v>
      </c>
      <c r="J1643" s="3">
        <v>0.135834411384217</v>
      </c>
      <c r="K1643" s="21">
        <v>1178.61904761905</v>
      </c>
      <c r="L1643" s="21">
        <v>30938.75</v>
      </c>
      <c r="M1643" s="21">
        <v>193.25</v>
      </c>
      <c r="N1643" s="2" t="s">
        <v>79</v>
      </c>
    </row>
    <row r="1644" s="2" customFormat="1" spans="1:14">
      <c r="A1644" s="20">
        <v>45770</v>
      </c>
      <c r="B1644" s="2" t="s">
        <v>98</v>
      </c>
      <c r="C1644" s="2" t="s">
        <v>99</v>
      </c>
      <c r="D1644" s="2">
        <v>1</v>
      </c>
      <c r="E1644" s="2">
        <v>1012</v>
      </c>
      <c r="F1644" s="2">
        <v>137</v>
      </c>
      <c r="G1644" s="2">
        <v>181440</v>
      </c>
      <c r="H1644" s="2">
        <v>6</v>
      </c>
      <c r="I1644" s="2" t="s">
        <v>78</v>
      </c>
      <c r="J1644" s="3">
        <v>0.135375494071146</v>
      </c>
      <c r="K1644" s="21">
        <v>1324.3795620438</v>
      </c>
      <c r="L1644" s="21">
        <v>30240</v>
      </c>
      <c r="M1644" s="21">
        <v>168.666666666667</v>
      </c>
      <c r="N1644" s="2" t="s">
        <v>79</v>
      </c>
    </row>
    <row r="1645" s="2" customFormat="1" spans="1:14">
      <c r="A1645" s="20">
        <v>45771</v>
      </c>
      <c r="B1645" s="2" t="s">
        <v>98</v>
      </c>
      <c r="C1645" s="2" t="s">
        <v>99</v>
      </c>
      <c r="D1645" s="2">
        <v>1</v>
      </c>
      <c r="E1645" s="2">
        <v>751</v>
      </c>
      <c r="F1645" s="2">
        <v>93</v>
      </c>
      <c r="G1645" s="2">
        <v>132748</v>
      </c>
      <c r="H1645" s="2">
        <v>7</v>
      </c>
      <c r="I1645" s="2" t="s">
        <v>78</v>
      </c>
      <c r="J1645" s="3">
        <v>0.123834886817577</v>
      </c>
      <c r="K1645" s="21">
        <v>1427.39784946237</v>
      </c>
      <c r="L1645" s="21">
        <v>18964</v>
      </c>
      <c r="M1645" s="21">
        <v>107.285714285714</v>
      </c>
      <c r="N1645" s="2" t="s">
        <v>79</v>
      </c>
    </row>
    <row r="1646" s="2" customFormat="1" spans="1:14">
      <c r="A1646" s="20">
        <v>45772</v>
      </c>
      <c r="B1646" s="2" t="s">
        <v>98</v>
      </c>
      <c r="C1646" s="2" t="s">
        <v>99</v>
      </c>
      <c r="D1646" s="2">
        <v>1</v>
      </c>
      <c r="E1646" s="2">
        <v>646</v>
      </c>
      <c r="F1646" s="2">
        <v>81</v>
      </c>
      <c r="G1646" s="2">
        <v>104219</v>
      </c>
      <c r="H1646" s="2">
        <v>8</v>
      </c>
      <c r="I1646" s="2" t="s">
        <v>78</v>
      </c>
      <c r="J1646" s="3">
        <v>0.125386996904025</v>
      </c>
      <c r="K1646" s="21">
        <v>1286.65432098765</v>
      </c>
      <c r="L1646" s="21">
        <v>13027.375</v>
      </c>
      <c r="M1646" s="21">
        <v>80.75</v>
      </c>
      <c r="N1646" s="2" t="s">
        <v>79</v>
      </c>
    </row>
    <row r="1647" s="2" customFormat="1" spans="1:14">
      <c r="A1647" s="20">
        <v>45773</v>
      </c>
      <c r="B1647" s="2" t="s">
        <v>98</v>
      </c>
      <c r="C1647" s="2" t="s">
        <v>99</v>
      </c>
      <c r="D1647" s="2">
        <v>1</v>
      </c>
      <c r="E1647" s="2">
        <v>1095</v>
      </c>
      <c r="F1647" s="2">
        <v>142</v>
      </c>
      <c r="G1647" s="2">
        <v>210916</v>
      </c>
      <c r="H1647" s="2">
        <v>9</v>
      </c>
      <c r="I1647" s="2" t="s">
        <v>78</v>
      </c>
      <c r="J1647" s="3">
        <v>0.129680365296804</v>
      </c>
      <c r="K1647" s="21">
        <v>1485.32394366197</v>
      </c>
      <c r="L1647" s="21">
        <v>23435.1111111111</v>
      </c>
      <c r="M1647" s="21">
        <v>121.666666666667</v>
      </c>
      <c r="N1647" s="2" t="s">
        <v>80</v>
      </c>
    </row>
    <row r="1648" s="2" customFormat="1" spans="1:14">
      <c r="A1648" s="20">
        <v>45774</v>
      </c>
      <c r="B1648" s="2" t="s">
        <v>98</v>
      </c>
      <c r="C1648" s="2" t="s">
        <v>99</v>
      </c>
      <c r="D1648" s="2">
        <v>1</v>
      </c>
      <c r="E1648" s="2">
        <v>1207</v>
      </c>
      <c r="F1648" s="2">
        <v>177</v>
      </c>
      <c r="G1648" s="2">
        <v>253835</v>
      </c>
      <c r="H1648" s="2">
        <v>9</v>
      </c>
      <c r="I1648" s="2" t="s">
        <v>78</v>
      </c>
      <c r="J1648" s="3">
        <v>0.146644573322287</v>
      </c>
      <c r="K1648" s="21">
        <v>1434.09604519774</v>
      </c>
      <c r="L1648" s="21">
        <v>28203.8888888889</v>
      </c>
      <c r="M1648" s="21">
        <v>134.111111111111</v>
      </c>
      <c r="N1648" s="2" t="s">
        <v>80</v>
      </c>
    </row>
    <row r="1649" s="2" customFormat="1" spans="1:14">
      <c r="A1649" s="20">
        <v>45775</v>
      </c>
      <c r="B1649" s="2" t="s">
        <v>98</v>
      </c>
      <c r="C1649" s="2" t="s">
        <v>99</v>
      </c>
      <c r="D1649" s="2">
        <v>1</v>
      </c>
      <c r="E1649" s="2">
        <v>930</v>
      </c>
      <c r="F1649" s="2">
        <v>111</v>
      </c>
      <c r="G1649" s="2">
        <v>123315</v>
      </c>
      <c r="H1649" s="2">
        <v>4</v>
      </c>
      <c r="I1649" s="2" t="s">
        <v>78</v>
      </c>
      <c r="J1649" s="3">
        <v>0.119354838709677</v>
      </c>
      <c r="K1649" s="21">
        <v>1110.94594594595</v>
      </c>
      <c r="L1649" s="21">
        <v>30828.75</v>
      </c>
      <c r="M1649" s="21">
        <v>232.5</v>
      </c>
      <c r="N1649" s="2" t="s">
        <v>79</v>
      </c>
    </row>
    <row r="1650" s="2" customFormat="1" spans="1:14">
      <c r="A1650" s="20">
        <v>45776</v>
      </c>
      <c r="B1650" s="2" t="s">
        <v>98</v>
      </c>
      <c r="C1650" s="2" t="s">
        <v>99</v>
      </c>
      <c r="D1650" s="2">
        <v>1</v>
      </c>
      <c r="E1650" s="2">
        <v>961</v>
      </c>
      <c r="F1650" s="2">
        <v>123</v>
      </c>
      <c r="G1650" s="2">
        <v>197089</v>
      </c>
      <c r="H1650" s="2">
        <v>9</v>
      </c>
      <c r="I1650" s="2" t="s">
        <v>78</v>
      </c>
      <c r="J1650" s="3">
        <v>0.127991675338189</v>
      </c>
      <c r="K1650" s="21">
        <v>1602.34959349594</v>
      </c>
      <c r="L1650" s="21">
        <v>21898.7777777778</v>
      </c>
      <c r="M1650" s="21">
        <v>106.777777777778</v>
      </c>
      <c r="N1650" s="2" t="s">
        <v>79</v>
      </c>
    </row>
    <row r="1651" s="2" customFormat="1" spans="1:14">
      <c r="A1651" s="20">
        <v>45777</v>
      </c>
      <c r="B1651" s="2" t="s">
        <v>98</v>
      </c>
      <c r="C1651" s="2" t="s">
        <v>99</v>
      </c>
      <c r="D1651" s="2">
        <v>1</v>
      </c>
      <c r="E1651" s="2">
        <v>851</v>
      </c>
      <c r="F1651" s="2">
        <v>122</v>
      </c>
      <c r="G1651" s="2">
        <v>173503</v>
      </c>
      <c r="H1651" s="2">
        <v>6</v>
      </c>
      <c r="I1651" s="2" t="s">
        <v>78</v>
      </c>
      <c r="J1651" s="3">
        <v>0.143360752056404</v>
      </c>
      <c r="K1651" s="21">
        <v>1422.15573770492</v>
      </c>
      <c r="L1651" s="21">
        <v>28917.1666666667</v>
      </c>
      <c r="M1651" s="21">
        <v>141.833333333333</v>
      </c>
      <c r="N1651" s="2" t="s">
        <v>79</v>
      </c>
    </row>
    <row r="1652" s="2" customFormat="1" spans="1:14">
      <c r="A1652" s="20">
        <v>45778</v>
      </c>
      <c r="B1652" s="2" t="s">
        <v>98</v>
      </c>
      <c r="C1652" s="2" t="s">
        <v>99</v>
      </c>
      <c r="D1652" s="2">
        <v>1</v>
      </c>
      <c r="E1652" s="2">
        <v>888</v>
      </c>
      <c r="F1652" s="2">
        <v>117</v>
      </c>
      <c r="G1652" s="2">
        <v>132089</v>
      </c>
      <c r="H1652" s="2">
        <v>9</v>
      </c>
      <c r="I1652" s="2" t="s">
        <v>78</v>
      </c>
      <c r="J1652" s="3">
        <v>0.131756756756757</v>
      </c>
      <c r="K1652" s="21">
        <v>1128.96581196581</v>
      </c>
      <c r="L1652" s="21">
        <v>14676.5555555555</v>
      </c>
      <c r="M1652" s="21">
        <v>98.6666666666667</v>
      </c>
      <c r="N1652" s="2" t="s">
        <v>79</v>
      </c>
    </row>
    <row r="1653" s="2" customFormat="1" spans="1:14">
      <c r="A1653" s="20">
        <v>45779</v>
      </c>
      <c r="B1653" s="2" t="s">
        <v>98</v>
      </c>
      <c r="C1653" s="2" t="s">
        <v>99</v>
      </c>
      <c r="D1653" s="2">
        <v>1</v>
      </c>
      <c r="E1653" s="2">
        <v>780</v>
      </c>
      <c r="F1653" s="2">
        <v>95</v>
      </c>
      <c r="G1653" s="2">
        <v>111006</v>
      </c>
      <c r="H1653" s="2">
        <v>6</v>
      </c>
      <c r="I1653" s="2" t="s">
        <v>78</v>
      </c>
      <c r="J1653" s="3">
        <v>0.121794871794872</v>
      </c>
      <c r="K1653" s="21">
        <v>1168.48421052632</v>
      </c>
      <c r="L1653" s="21">
        <v>18501</v>
      </c>
      <c r="M1653" s="21">
        <v>130</v>
      </c>
      <c r="N1653" s="2" t="s">
        <v>79</v>
      </c>
    </row>
    <row r="1654" s="2" customFormat="1" spans="1:14">
      <c r="A1654" s="20">
        <v>45780</v>
      </c>
      <c r="B1654" s="2" t="s">
        <v>98</v>
      </c>
      <c r="C1654" s="2" t="s">
        <v>99</v>
      </c>
      <c r="D1654" s="2">
        <v>1</v>
      </c>
      <c r="E1654" s="2">
        <v>1328</v>
      </c>
      <c r="F1654" s="2">
        <v>193</v>
      </c>
      <c r="G1654" s="2">
        <v>285296</v>
      </c>
      <c r="H1654" s="2">
        <v>8</v>
      </c>
      <c r="I1654" s="2" t="s">
        <v>78</v>
      </c>
      <c r="J1654" s="3">
        <v>0.145331325301205</v>
      </c>
      <c r="K1654" s="21">
        <v>1478.21761658031</v>
      </c>
      <c r="L1654" s="21">
        <v>35662</v>
      </c>
      <c r="M1654" s="21">
        <v>166</v>
      </c>
      <c r="N1654" s="2" t="s">
        <v>80</v>
      </c>
    </row>
    <row r="1655" s="2" customFormat="1" spans="1:14">
      <c r="A1655" s="20">
        <v>45781</v>
      </c>
      <c r="B1655" s="2" t="s">
        <v>98</v>
      </c>
      <c r="C1655" s="2" t="s">
        <v>99</v>
      </c>
      <c r="D1655" s="2">
        <v>1</v>
      </c>
      <c r="E1655" s="2">
        <v>1300</v>
      </c>
      <c r="F1655" s="2">
        <v>157</v>
      </c>
      <c r="G1655" s="2">
        <v>235358</v>
      </c>
      <c r="H1655" s="2">
        <v>6</v>
      </c>
      <c r="I1655" s="2" t="s">
        <v>81</v>
      </c>
      <c r="J1655" s="3">
        <v>0.120769230769231</v>
      </c>
      <c r="K1655" s="21">
        <v>1499.09554140127</v>
      </c>
      <c r="L1655" s="21">
        <v>39226.3333333333</v>
      </c>
      <c r="M1655" s="21">
        <v>216.666666666667</v>
      </c>
      <c r="N1655" s="2" t="s">
        <v>80</v>
      </c>
    </row>
    <row r="1656" s="2" customFormat="1" spans="1:14">
      <c r="A1656" s="20">
        <v>45782</v>
      </c>
      <c r="B1656" s="2" t="s">
        <v>98</v>
      </c>
      <c r="C1656" s="2" t="s">
        <v>99</v>
      </c>
      <c r="D1656" s="2">
        <v>1</v>
      </c>
      <c r="E1656" s="2">
        <v>873</v>
      </c>
      <c r="F1656" s="2">
        <v>106</v>
      </c>
      <c r="G1656" s="2">
        <v>165963</v>
      </c>
      <c r="H1656" s="2">
        <v>5</v>
      </c>
      <c r="I1656" s="2" t="s">
        <v>78</v>
      </c>
      <c r="J1656" s="3">
        <v>0.121420389461627</v>
      </c>
      <c r="K1656" s="21">
        <v>1565.68867924528</v>
      </c>
      <c r="L1656" s="21">
        <v>33192.6</v>
      </c>
      <c r="M1656" s="21">
        <v>174.6</v>
      </c>
      <c r="N1656" s="2" t="s">
        <v>79</v>
      </c>
    </row>
    <row r="1657" s="2" customFormat="1" spans="1:14">
      <c r="A1657" s="20">
        <v>45783</v>
      </c>
      <c r="B1657" s="2" t="s">
        <v>98</v>
      </c>
      <c r="C1657" s="2" t="s">
        <v>99</v>
      </c>
      <c r="D1657" s="2">
        <v>1</v>
      </c>
      <c r="E1657" s="2">
        <v>1055</v>
      </c>
      <c r="F1657" s="2">
        <v>134</v>
      </c>
      <c r="G1657" s="2">
        <v>202772</v>
      </c>
      <c r="H1657" s="2">
        <v>8</v>
      </c>
      <c r="I1657" s="2" t="s">
        <v>78</v>
      </c>
      <c r="J1657" s="3">
        <v>0.127014218009479</v>
      </c>
      <c r="K1657" s="21">
        <v>1513.22388059702</v>
      </c>
      <c r="L1657" s="21">
        <v>25346.5</v>
      </c>
      <c r="M1657" s="21">
        <v>131.875</v>
      </c>
      <c r="N1657" s="2" t="s">
        <v>79</v>
      </c>
    </row>
    <row r="1658" s="2" customFormat="1" spans="1:14">
      <c r="A1658" s="20">
        <v>45784</v>
      </c>
      <c r="B1658" s="2" t="s">
        <v>98</v>
      </c>
      <c r="C1658" s="2" t="s">
        <v>99</v>
      </c>
      <c r="D1658" s="2">
        <v>1</v>
      </c>
      <c r="E1658" s="2">
        <v>951</v>
      </c>
      <c r="F1658" s="2">
        <v>132</v>
      </c>
      <c r="G1658" s="2">
        <v>181743</v>
      </c>
      <c r="H1658" s="2">
        <v>8</v>
      </c>
      <c r="I1658" s="2" t="s">
        <v>78</v>
      </c>
      <c r="J1658" s="3">
        <v>0.138801261829653</v>
      </c>
      <c r="K1658" s="21">
        <v>1376.84090909091</v>
      </c>
      <c r="L1658" s="21">
        <v>22717.875</v>
      </c>
      <c r="M1658" s="21">
        <v>118.875</v>
      </c>
      <c r="N1658" s="2" t="s">
        <v>79</v>
      </c>
    </row>
    <row r="1659" s="2" customFormat="1" spans="1:14">
      <c r="A1659" s="20">
        <v>45785</v>
      </c>
      <c r="B1659" s="2" t="s">
        <v>98</v>
      </c>
      <c r="C1659" s="2" t="s">
        <v>99</v>
      </c>
      <c r="D1659" s="2">
        <v>1</v>
      </c>
      <c r="E1659" s="2">
        <v>927</v>
      </c>
      <c r="F1659" s="2">
        <v>132</v>
      </c>
      <c r="G1659" s="2">
        <v>193527</v>
      </c>
      <c r="H1659" s="2">
        <v>7</v>
      </c>
      <c r="I1659" s="2" t="s">
        <v>78</v>
      </c>
      <c r="J1659" s="3">
        <v>0.142394822006472</v>
      </c>
      <c r="K1659" s="21">
        <v>1466.11363636364</v>
      </c>
      <c r="L1659" s="21">
        <v>27646.7142857143</v>
      </c>
      <c r="M1659" s="21">
        <v>132.428571428571</v>
      </c>
      <c r="N1659" s="2" t="s">
        <v>79</v>
      </c>
    </row>
    <row r="1660" s="2" customFormat="1" spans="1:14">
      <c r="A1660" s="20">
        <v>45786</v>
      </c>
      <c r="B1660" s="2" t="s">
        <v>98</v>
      </c>
      <c r="C1660" s="2" t="s">
        <v>99</v>
      </c>
      <c r="D1660" s="2">
        <v>1</v>
      </c>
      <c r="E1660" s="2">
        <v>1046</v>
      </c>
      <c r="F1660" s="2">
        <v>149</v>
      </c>
      <c r="G1660" s="2">
        <v>176977</v>
      </c>
      <c r="H1660" s="2">
        <v>5</v>
      </c>
      <c r="I1660" s="2" t="s">
        <v>78</v>
      </c>
      <c r="J1660" s="3">
        <v>0.14244741873805</v>
      </c>
      <c r="K1660" s="21">
        <v>1187.76510067114</v>
      </c>
      <c r="L1660" s="21">
        <v>35395.4</v>
      </c>
      <c r="M1660" s="21">
        <v>209.2</v>
      </c>
      <c r="N1660" s="2" t="s">
        <v>79</v>
      </c>
    </row>
    <row r="1661" s="2" customFormat="1" spans="1:14">
      <c r="A1661" s="20">
        <v>45787</v>
      </c>
      <c r="B1661" s="2" t="s">
        <v>98</v>
      </c>
      <c r="C1661" s="2" t="s">
        <v>99</v>
      </c>
      <c r="D1661" s="2">
        <v>1</v>
      </c>
      <c r="E1661" s="2">
        <v>1208</v>
      </c>
      <c r="F1661" s="2">
        <v>162</v>
      </c>
      <c r="G1661" s="2">
        <v>251946</v>
      </c>
      <c r="H1661" s="2">
        <v>7</v>
      </c>
      <c r="I1661" s="2" t="s">
        <v>78</v>
      </c>
      <c r="J1661" s="3">
        <v>0.134105960264901</v>
      </c>
      <c r="K1661" s="21">
        <v>1555.22222222222</v>
      </c>
      <c r="L1661" s="21">
        <v>35992.2857142857</v>
      </c>
      <c r="M1661" s="21">
        <v>172.571428571429</v>
      </c>
      <c r="N1661" s="2" t="s">
        <v>80</v>
      </c>
    </row>
    <row r="1662" s="2" customFormat="1" spans="1:14">
      <c r="A1662" s="20">
        <v>45788</v>
      </c>
      <c r="B1662" s="2" t="s">
        <v>98</v>
      </c>
      <c r="C1662" s="2" t="s">
        <v>99</v>
      </c>
      <c r="D1662" s="2">
        <v>1</v>
      </c>
      <c r="E1662" s="2">
        <v>1540</v>
      </c>
      <c r="F1662" s="2">
        <v>218</v>
      </c>
      <c r="G1662" s="2">
        <v>283479</v>
      </c>
      <c r="H1662" s="2">
        <v>7</v>
      </c>
      <c r="I1662" s="2" t="s">
        <v>78</v>
      </c>
      <c r="J1662" s="3">
        <v>0.141558441558442</v>
      </c>
      <c r="K1662" s="21">
        <v>1300.3623853211</v>
      </c>
      <c r="L1662" s="21">
        <v>40497</v>
      </c>
      <c r="M1662" s="21">
        <v>220</v>
      </c>
      <c r="N1662" s="2" t="s">
        <v>80</v>
      </c>
    </row>
    <row r="1663" s="2" customFormat="1" spans="1:14">
      <c r="A1663" s="20">
        <v>45789</v>
      </c>
      <c r="B1663" s="2" t="s">
        <v>98</v>
      </c>
      <c r="C1663" s="2" t="s">
        <v>99</v>
      </c>
      <c r="D1663" s="2">
        <v>1</v>
      </c>
      <c r="E1663" s="2">
        <v>839</v>
      </c>
      <c r="F1663" s="2">
        <v>105</v>
      </c>
      <c r="G1663" s="2">
        <v>141976</v>
      </c>
      <c r="H1663" s="2">
        <v>4</v>
      </c>
      <c r="I1663" s="2" t="s">
        <v>78</v>
      </c>
      <c r="J1663" s="3">
        <v>0.125148986889154</v>
      </c>
      <c r="K1663" s="21">
        <v>1352.15238095238</v>
      </c>
      <c r="L1663" s="21">
        <v>35494</v>
      </c>
      <c r="M1663" s="21">
        <v>209.75</v>
      </c>
      <c r="N1663" s="2" t="s">
        <v>79</v>
      </c>
    </row>
    <row r="1664" s="2" customFormat="1" spans="1:14">
      <c r="A1664" s="20">
        <v>45790</v>
      </c>
      <c r="B1664" s="2" t="s">
        <v>98</v>
      </c>
      <c r="C1664" s="2" t="s">
        <v>99</v>
      </c>
      <c r="D1664" s="2">
        <v>1</v>
      </c>
      <c r="E1664" s="2">
        <v>828</v>
      </c>
      <c r="F1664" s="2">
        <v>102</v>
      </c>
      <c r="G1664" s="2">
        <v>128620</v>
      </c>
      <c r="H1664" s="2">
        <v>7</v>
      </c>
      <c r="I1664" s="2" t="s">
        <v>78</v>
      </c>
      <c r="J1664" s="3">
        <v>0.123188405797101</v>
      </c>
      <c r="K1664" s="21">
        <v>1260.98039215686</v>
      </c>
      <c r="L1664" s="21">
        <v>18374.2857142857</v>
      </c>
      <c r="M1664" s="21">
        <v>118.285714285714</v>
      </c>
      <c r="N1664" s="2" t="s">
        <v>79</v>
      </c>
    </row>
    <row r="1665" s="2" customFormat="1" spans="1:14">
      <c r="A1665" s="20">
        <v>45791</v>
      </c>
      <c r="B1665" s="2" t="s">
        <v>98</v>
      </c>
      <c r="C1665" s="2" t="s">
        <v>99</v>
      </c>
      <c r="D1665" s="2">
        <v>1</v>
      </c>
      <c r="E1665" s="2">
        <v>992</v>
      </c>
      <c r="F1665" s="2">
        <v>138</v>
      </c>
      <c r="G1665" s="2">
        <v>230920</v>
      </c>
      <c r="H1665" s="2">
        <v>7</v>
      </c>
      <c r="I1665" s="2" t="s">
        <v>81</v>
      </c>
      <c r="J1665" s="3">
        <v>0.139112903225806</v>
      </c>
      <c r="K1665" s="21">
        <v>1673.33333333333</v>
      </c>
      <c r="L1665" s="21">
        <v>32988.5714285714</v>
      </c>
      <c r="M1665" s="21">
        <v>141.714285714286</v>
      </c>
      <c r="N1665" s="2" t="s">
        <v>79</v>
      </c>
    </row>
    <row r="1666" s="2" customFormat="1" spans="1:14">
      <c r="A1666" s="20">
        <v>45792</v>
      </c>
      <c r="B1666" s="2" t="s">
        <v>98</v>
      </c>
      <c r="C1666" s="2" t="s">
        <v>99</v>
      </c>
      <c r="D1666" s="2">
        <v>1</v>
      </c>
      <c r="E1666" s="2">
        <v>968</v>
      </c>
      <c r="F1666" s="2">
        <v>125</v>
      </c>
      <c r="G1666" s="2">
        <v>159859</v>
      </c>
      <c r="H1666" s="2">
        <v>6</v>
      </c>
      <c r="I1666" s="2" t="s">
        <v>78</v>
      </c>
      <c r="J1666" s="3">
        <v>0.129132231404959</v>
      </c>
      <c r="K1666" s="21">
        <v>1278.872</v>
      </c>
      <c r="L1666" s="21">
        <v>26643.1666666667</v>
      </c>
      <c r="M1666" s="21">
        <v>161.333333333333</v>
      </c>
      <c r="N1666" s="2" t="s">
        <v>79</v>
      </c>
    </row>
    <row r="1667" s="2" customFormat="1" spans="1:14">
      <c r="A1667" s="20">
        <v>45793</v>
      </c>
      <c r="B1667" s="2" t="s">
        <v>98</v>
      </c>
      <c r="C1667" s="2" t="s">
        <v>99</v>
      </c>
      <c r="D1667" s="2">
        <v>1</v>
      </c>
      <c r="E1667" s="2">
        <v>862</v>
      </c>
      <c r="F1667" s="2">
        <v>111</v>
      </c>
      <c r="G1667" s="2">
        <v>122888</v>
      </c>
      <c r="H1667" s="2">
        <v>5</v>
      </c>
      <c r="I1667" s="2" t="s">
        <v>78</v>
      </c>
      <c r="J1667" s="3">
        <v>0.12877030162413</v>
      </c>
      <c r="K1667" s="21">
        <v>1107.0990990991</v>
      </c>
      <c r="L1667" s="21">
        <v>24577.6</v>
      </c>
      <c r="M1667" s="21">
        <v>172.4</v>
      </c>
      <c r="N1667" s="2" t="s">
        <v>79</v>
      </c>
    </row>
    <row r="1668" s="2" customFormat="1" spans="1:14">
      <c r="A1668" s="20">
        <v>45794</v>
      </c>
      <c r="B1668" s="2" t="s">
        <v>98</v>
      </c>
      <c r="C1668" s="2" t="s">
        <v>99</v>
      </c>
      <c r="D1668" s="2">
        <v>1</v>
      </c>
      <c r="E1668" s="2">
        <v>1154</v>
      </c>
      <c r="F1668" s="2">
        <v>172</v>
      </c>
      <c r="G1668" s="2">
        <v>237715</v>
      </c>
      <c r="H1668" s="2">
        <v>9</v>
      </c>
      <c r="I1668" s="2" t="s">
        <v>78</v>
      </c>
      <c r="J1668" s="3">
        <v>0.149046793760832</v>
      </c>
      <c r="K1668" s="21">
        <v>1382.06395348837</v>
      </c>
      <c r="L1668" s="21">
        <v>26412.7777777778</v>
      </c>
      <c r="M1668" s="21">
        <v>128.222222222222</v>
      </c>
      <c r="N1668" s="2" t="s">
        <v>80</v>
      </c>
    </row>
    <row r="1669" s="2" customFormat="1" spans="1:14">
      <c r="A1669" s="20">
        <v>45795</v>
      </c>
      <c r="B1669" s="2" t="s">
        <v>98</v>
      </c>
      <c r="C1669" s="2" t="s">
        <v>99</v>
      </c>
      <c r="D1669" s="2">
        <v>1</v>
      </c>
      <c r="E1669" s="2">
        <v>1145</v>
      </c>
      <c r="F1669" s="2">
        <v>144</v>
      </c>
      <c r="G1669" s="2">
        <v>199926</v>
      </c>
      <c r="H1669" s="2">
        <v>7</v>
      </c>
      <c r="I1669" s="2" t="s">
        <v>81</v>
      </c>
      <c r="J1669" s="3">
        <v>0.125764192139738</v>
      </c>
      <c r="K1669" s="21">
        <v>1388.375</v>
      </c>
      <c r="L1669" s="21">
        <v>28560.8571428571</v>
      </c>
      <c r="M1669" s="21">
        <v>163.571428571429</v>
      </c>
      <c r="N1669" s="2" t="s">
        <v>80</v>
      </c>
    </row>
    <row r="1670" s="2" customFormat="1" spans="1:14">
      <c r="A1670" s="20">
        <v>45796</v>
      </c>
      <c r="B1670" s="2" t="s">
        <v>98</v>
      </c>
      <c r="C1670" s="2" t="s">
        <v>99</v>
      </c>
      <c r="D1670" s="2">
        <v>1</v>
      </c>
      <c r="E1670" s="2">
        <v>1046</v>
      </c>
      <c r="F1670" s="2">
        <v>138</v>
      </c>
      <c r="G1670" s="2">
        <v>211257</v>
      </c>
      <c r="H1670" s="2">
        <v>9</v>
      </c>
      <c r="I1670" s="2" t="s">
        <v>78</v>
      </c>
      <c r="J1670" s="3">
        <v>0.131931166347992</v>
      </c>
      <c r="K1670" s="21">
        <v>1530.84782608696</v>
      </c>
      <c r="L1670" s="21">
        <v>23473</v>
      </c>
      <c r="M1670" s="21">
        <v>116.222222222222</v>
      </c>
      <c r="N1670" s="2" t="s">
        <v>79</v>
      </c>
    </row>
    <row r="1671" s="2" customFormat="1" spans="1:14">
      <c r="A1671" s="20">
        <v>45797</v>
      </c>
      <c r="B1671" s="2" t="s">
        <v>98</v>
      </c>
      <c r="C1671" s="2" t="s">
        <v>99</v>
      </c>
      <c r="D1671" s="2">
        <v>1</v>
      </c>
      <c r="E1671" s="2">
        <v>810</v>
      </c>
      <c r="F1671" s="2">
        <v>106</v>
      </c>
      <c r="G1671" s="2">
        <v>132881</v>
      </c>
      <c r="H1671" s="2">
        <v>6</v>
      </c>
      <c r="I1671" s="2" t="s">
        <v>78</v>
      </c>
      <c r="J1671" s="3">
        <v>0.130864197530864</v>
      </c>
      <c r="K1671" s="21">
        <v>1253.59433962264</v>
      </c>
      <c r="L1671" s="21">
        <v>22146.8333333333</v>
      </c>
      <c r="M1671" s="21">
        <v>135</v>
      </c>
      <c r="N1671" s="2" t="s">
        <v>79</v>
      </c>
    </row>
    <row r="1672" s="2" customFormat="1" spans="1:14">
      <c r="A1672" s="20">
        <v>45798</v>
      </c>
      <c r="B1672" s="2" t="s">
        <v>98</v>
      </c>
      <c r="C1672" s="2" t="s">
        <v>99</v>
      </c>
      <c r="D1672" s="2">
        <v>1</v>
      </c>
      <c r="E1672" s="2">
        <v>894</v>
      </c>
      <c r="F1672" s="2">
        <v>127</v>
      </c>
      <c r="G1672" s="2">
        <v>195171</v>
      </c>
      <c r="H1672" s="2">
        <v>9</v>
      </c>
      <c r="I1672" s="2" t="s">
        <v>78</v>
      </c>
      <c r="J1672" s="3">
        <v>0.142058165548098</v>
      </c>
      <c r="K1672" s="21">
        <v>1536.77952755905</v>
      </c>
      <c r="L1672" s="21">
        <v>21685.6666666667</v>
      </c>
      <c r="M1672" s="21">
        <v>99.3333333333333</v>
      </c>
      <c r="N1672" s="2" t="s">
        <v>79</v>
      </c>
    </row>
    <row r="1673" s="2" customFormat="1" spans="1:14">
      <c r="A1673" s="20">
        <v>45799</v>
      </c>
      <c r="B1673" s="2" t="s">
        <v>98</v>
      </c>
      <c r="C1673" s="2" t="s">
        <v>99</v>
      </c>
      <c r="D1673" s="2">
        <v>1</v>
      </c>
      <c r="E1673" s="2">
        <v>864</v>
      </c>
      <c r="F1673" s="2">
        <v>112</v>
      </c>
      <c r="G1673" s="2">
        <v>154057</v>
      </c>
      <c r="H1673" s="2">
        <v>7</v>
      </c>
      <c r="I1673" s="2" t="s">
        <v>78</v>
      </c>
      <c r="J1673" s="3">
        <v>0.12962962962963</v>
      </c>
      <c r="K1673" s="21">
        <v>1375.50892857143</v>
      </c>
      <c r="L1673" s="21">
        <v>22008.1428571429</v>
      </c>
      <c r="M1673" s="21">
        <v>123.428571428571</v>
      </c>
      <c r="N1673" s="2" t="s">
        <v>79</v>
      </c>
    </row>
    <row r="1674" s="2" customFormat="1" spans="1:14">
      <c r="A1674" s="20">
        <v>45800</v>
      </c>
      <c r="B1674" s="2" t="s">
        <v>98</v>
      </c>
      <c r="C1674" s="2" t="s">
        <v>99</v>
      </c>
      <c r="D1674" s="2">
        <v>1</v>
      </c>
      <c r="E1674" s="2">
        <v>960</v>
      </c>
      <c r="F1674" s="2">
        <v>125</v>
      </c>
      <c r="G1674" s="2">
        <v>209057</v>
      </c>
      <c r="H1674" s="2">
        <v>4</v>
      </c>
      <c r="I1674" s="2" t="s">
        <v>78</v>
      </c>
      <c r="J1674" s="3">
        <v>0.130208333333333</v>
      </c>
      <c r="K1674" s="21">
        <v>1672.456</v>
      </c>
      <c r="L1674" s="21">
        <v>52264.25</v>
      </c>
      <c r="M1674" s="21">
        <v>240</v>
      </c>
      <c r="N1674" s="2" t="s">
        <v>79</v>
      </c>
    </row>
    <row r="1675" s="2" customFormat="1" spans="1:14">
      <c r="A1675" s="20">
        <v>45801</v>
      </c>
      <c r="B1675" s="2" t="s">
        <v>98</v>
      </c>
      <c r="C1675" s="2" t="s">
        <v>99</v>
      </c>
      <c r="D1675" s="2">
        <v>1</v>
      </c>
      <c r="E1675" s="2">
        <v>1358</v>
      </c>
      <c r="F1675" s="2">
        <v>185</v>
      </c>
      <c r="G1675" s="2">
        <v>290915</v>
      </c>
      <c r="H1675" s="2">
        <v>9</v>
      </c>
      <c r="I1675" s="2" t="s">
        <v>78</v>
      </c>
      <c r="J1675" s="3">
        <v>0.136229749631812</v>
      </c>
      <c r="K1675" s="21">
        <v>1572.51351351351</v>
      </c>
      <c r="L1675" s="21">
        <v>32323.8888888889</v>
      </c>
      <c r="M1675" s="21">
        <v>150.888888888889</v>
      </c>
      <c r="N1675" s="2" t="s">
        <v>80</v>
      </c>
    </row>
    <row r="1676" s="2" customFormat="1" spans="1:14">
      <c r="A1676" s="20">
        <v>45802</v>
      </c>
      <c r="B1676" s="2" t="s">
        <v>98</v>
      </c>
      <c r="C1676" s="2" t="s">
        <v>99</v>
      </c>
      <c r="D1676" s="2">
        <v>1</v>
      </c>
      <c r="E1676" s="2">
        <v>1492</v>
      </c>
      <c r="F1676" s="2">
        <v>201</v>
      </c>
      <c r="G1676" s="2">
        <v>313860</v>
      </c>
      <c r="H1676" s="2">
        <v>4</v>
      </c>
      <c r="I1676" s="2" t="s">
        <v>78</v>
      </c>
      <c r="J1676" s="3">
        <v>0.134718498659517</v>
      </c>
      <c r="K1676" s="21">
        <v>1561.49253731343</v>
      </c>
      <c r="L1676" s="21">
        <v>78465</v>
      </c>
      <c r="M1676" s="21">
        <v>373</v>
      </c>
      <c r="N1676" s="2" t="s">
        <v>80</v>
      </c>
    </row>
    <row r="1677" s="2" customFormat="1" spans="1:14">
      <c r="A1677" s="20">
        <v>45803</v>
      </c>
      <c r="B1677" s="2" t="s">
        <v>98</v>
      </c>
      <c r="C1677" s="2" t="s">
        <v>99</v>
      </c>
      <c r="D1677" s="2">
        <v>1</v>
      </c>
      <c r="E1677" s="2">
        <v>789</v>
      </c>
      <c r="F1677" s="2">
        <v>100</v>
      </c>
      <c r="G1677" s="2">
        <v>119660</v>
      </c>
      <c r="H1677" s="2">
        <v>7</v>
      </c>
      <c r="I1677" s="2" t="s">
        <v>78</v>
      </c>
      <c r="J1677" s="3">
        <v>0.126742712294043</v>
      </c>
      <c r="K1677" s="21">
        <v>1196.6</v>
      </c>
      <c r="L1677" s="21">
        <v>17094.2857142857</v>
      </c>
      <c r="M1677" s="21">
        <v>112.714285714286</v>
      </c>
      <c r="N1677" s="2" t="s">
        <v>79</v>
      </c>
    </row>
    <row r="1678" s="2" customFormat="1" spans="1:14">
      <c r="A1678" s="20">
        <v>45804</v>
      </c>
      <c r="B1678" s="2" t="s">
        <v>98</v>
      </c>
      <c r="C1678" s="2" t="s">
        <v>99</v>
      </c>
      <c r="D1678" s="2">
        <v>1</v>
      </c>
      <c r="E1678" s="2">
        <v>858</v>
      </c>
      <c r="F1678" s="2">
        <v>110</v>
      </c>
      <c r="G1678" s="2">
        <v>122425</v>
      </c>
      <c r="H1678" s="2">
        <v>7</v>
      </c>
      <c r="I1678" s="2" t="s">
        <v>81</v>
      </c>
      <c r="J1678" s="3">
        <v>0.128205128205128</v>
      </c>
      <c r="K1678" s="21">
        <v>1112.95454545455</v>
      </c>
      <c r="L1678" s="21">
        <v>17489.2857142857</v>
      </c>
      <c r="M1678" s="21">
        <v>122.571428571429</v>
      </c>
      <c r="N1678" s="2" t="s">
        <v>79</v>
      </c>
    </row>
    <row r="1679" s="2" customFormat="1" spans="1:14">
      <c r="A1679" s="20">
        <v>45805</v>
      </c>
      <c r="B1679" s="2" t="s">
        <v>98</v>
      </c>
      <c r="C1679" s="2" t="s">
        <v>99</v>
      </c>
      <c r="D1679" s="2">
        <v>1</v>
      </c>
      <c r="E1679" s="2">
        <v>978</v>
      </c>
      <c r="F1679" s="2">
        <v>134</v>
      </c>
      <c r="G1679" s="2">
        <v>225602</v>
      </c>
      <c r="H1679" s="2">
        <v>5</v>
      </c>
      <c r="I1679" s="2" t="s">
        <v>78</v>
      </c>
      <c r="J1679" s="3">
        <v>0.137014314928425</v>
      </c>
      <c r="K1679" s="21">
        <v>1683.59701492537</v>
      </c>
      <c r="L1679" s="21">
        <v>45120.4</v>
      </c>
      <c r="M1679" s="21">
        <v>195.6</v>
      </c>
      <c r="N1679" s="2" t="s">
        <v>79</v>
      </c>
    </row>
    <row r="1680" s="2" customFormat="1" spans="1:14">
      <c r="A1680" s="20">
        <v>45806</v>
      </c>
      <c r="B1680" s="2" t="s">
        <v>98</v>
      </c>
      <c r="C1680" s="2" t="s">
        <v>99</v>
      </c>
      <c r="D1680" s="2">
        <v>1</v>
      </c>
      <c r="E1680" s="2">
        <v>898</v>
      </c>
      <c r="F1680" s="2">
        <v>111</v>
      </c>
      <c r="G1680" s="2">
        <v>149519</v>
      </c>
      <c r="H1680" s="2">
        <v>7</v>
      </c>
      <c r="I1680" s="2" t="s">
        <v>78</v>
      </c>
      <c r="J1680" s="3">
        <v>0.123608017817372</v>
      </c>
      <c r="K1680" s="21">
        <v>1347.01801801802</v>
      </c>
      <c r="L1680" s="21">
        <v>21359.8571428571</v>
      </c>
      <c r="M1680" s="21">
        <v>128.285714285714</v>
      </c>
      <c r="N1680" s="2" t="s">
        <v>79</v>
      </c>
    </row>
    <row r="1681" s="2" customFormat="1" spans="1:14">
      <c r="A1681" s="20">
        <v>45807</v>
      </c>
      <c r="B1681" s="2" t="s">
        <v>98</v>
      </c>
      <c r="C1681" s="2" t="s">
        <v>99</v>
      </c>
      <c r="D1681" s="2">
        <v>1</v>
      </c>
      <c r="E1681" s="2">
        <v>774</v>
      </c>
      <c r="F1681" s="2">
        <v>96</v>
      </c>
      <c r="G1681" s="2">
        <v>147700</v>
      </c>
      <c r="H1681" s="2">
        <v>6</v>
      </c>
      <c r="I1681" s="2" t="s">
        <v>81</v>
      </c>
      <c r="J1681" s="3">
        <v>0.124031007751938</v>
      </c>
      <c r="K1681" s="21">
        <v>1538.54166666667</v>
      </c>
      <c r="L1681" s="21">
        <v>24616.6666666667</v>
      </c>
      <c r="M1681" s="21">
        <v>129</v>
      </c>
      <c r="N1681" s="2" t="s">
        <v>79</v>
      </c>
    </row>
    <row r="1682" s="2" customFormat="1" spans="1:14">
      <c r="A1682" s="20">
        <v>45808</v>
      </c>
      <c r="B1682" s="2" t="s">
        <v>98</v>
      </c>
      <c r="C1682" s="2" t="s">
        <v>99</v>
      </c>
      <c r="D1682" s="2">
        <v>1</v>
      </c>
      <c r="E1682" s="2">
        <v>1298</v>
      </c>
      <c r="F1682" s="2">
        <v>186</v>
      </c>
      <c r="G1682" s="2">
        <v>259919</v>
      </c>
      <c r="H1682" s="2">
        <v>7</v>
      </c>
      <c r="I1682" s="2" t="s">
        <v>78</v>
      </c>
      <c r="J1682" s="3">
        <v>0.143297380585516</v>
      </c>
      <c r="K1682" s="21">
        <v>1397.41397849462</v>
      </c>
      <c r="L1682" s="21">
        <v>37131.2857142857</v>
      </c>
      <c r="M1682" s="21">
        <v>185.428571428571</v>
      </c>
      <c r="N1682" s="2" t="s">
        <v>80</v>
      </c>
    </row>
    <row r="1683" s="2" customFormat="1" spans="1:14">
      <c r="A1683" s="20">
        <v>45809</v>
      </c>
      <c r="B1683" s="2" t="s">
        <v>98</v>
      </c>
      <c r="C1683" s="2" t="s">
        <v>99</v>
      </c>
      <c r="D1683" s="2">
        <v>1</v>
      </c>
      <c r="E1683" s="2">
        <v>1291</v>
      </c>
      <c r="F1683" s="2">
        <v>174</v>
      </c>
      <c r="G1683" s="2">
        <v>228368</v>
      </c>
      <c r="H1683" s="2">
        <v>4</v>
      </c>
      <c r="I1683" s="2" t="s">
        <v>78</v>
      </c>
      <c r="J1683" s="3">
        <v>0.134779240898528</v>
      </c>
      <c r="K1683" s="21">
        <v>1312.45977011494</v>
      </c>
      <c r="L1683" s="21">
        <v>57092</v>
      </c>
      <c r="M1683" s="21">
        <v>322.75</v>
      </c>
      <c r="N1683" s="2" t="s">
        <v>80</v>
      </c>
    </row>
    <row r="1684" s="2" customFormat="1" spans="1:14">
      <c r="A1684" s="20">
        <v>45810</v>
      </c>
      <c r="B1684" s="2" t="s">
        <v>98</v>
      </c>
      <c r="C1684" s="2" t="s">
        <v>99</v>
      </c>
      <c r="D1684" s="2">
        <v>1</v>
      </c>
      <c r="E1684" s="2">
        <v>923</v>
      </c>
      <c r="F1684" s="2">
        <v>133</v>
      </c>
      <c r="G1684" s="2">
        <v>212475</v>
      </c>
      <c r="H1684" s="2">
        <v>6</v>
      </c>
      <c r="I1684" s="2" t="s">
        <v>78</v>
      </c>
      <c r="J1684" s="3">
        <v>0.14409534127844</v>
      </c>
      <c r="K1684" s="21">
        <v>1597.55639097744</v>
      </c>
      <c r="L1684" s="21">
        <v>35412.5</v>
      </c>
      <c r="M1684" s="21">
        <v>153.833333333333</v>
      </c>
      <c r="N1684" s="2" t="s">
        <v>79</v>
      </c>
    </row>
    <row r="1685" s="2" customFormat="1" spans="1:14">
      <c r="A1685" s="20">
        <v>45811</v>
      </c>
      <c r="B1685" s="2" t="s">
        <v>98</v>
      </c>
      <c r="C1685" s="2" t="s">
        <v>99</v>
      </c>
      <c r="D1685" s="2">
        <v>1</v>
      </c>
      <c r="E1685" s="2">
        <v>1008</v>
      </c>
      <c r="F1685" s="2">
        <v>133</v>
      </c>
      <c r="G1685" s="2">
        <v>172019</v>
      </c>
      <c r="H1685" s="2">
        <v>8</v>
      </c>
      <c r="I1685" s="2" t="s">
        <v>81</v>
      </c>
      <c r="J1685" s="3">
        <v>0.131944444444444</v>
      </c>
      <c r="K1685" s="21">
        <v>1293.37593984962</v>
      </c>
      <c r="L1685" s="21">
        <v>21502.375</v>
      </c>
      <c r="M1685" s="21">
        <v>126</v>
      </c>
      <c r="N1685" s="2" t="s">
        <v>79</v>
      </c>
    </row>
    <row r="1686" s="2" customFormat="1" spans="1:14">
      <c r="A1686" s="20">
        <v>45812</v>
      </c>
      <c r="B1686" s="2" t="s">
        <v>98</v>
      </c>
      <c r="C1686" s="2" t="s">
        <v>99</v>
      </c>
      <c r="D1686" s="2">
        <v>1</v>
      </c>
      <c r="E1686" s="2">
        <v>790</v>
      </c>
      <c r="F1686" s="2">
        <v>98</v>
      </c>
      <c r="G1686" s="2">
        <v>120217</v>
      </c>
      <c r="H1686" s="2">
        <v>4</v>
      </c>
      <c r="I1686" s="2" t="s">
        <v>78</v>
      </c>
      <c r="J1686" s="3">
        <v>0.124050632911392</v>
      </c>
      <c r="K1686" s="21">
        <v>1226.70408163265</v>
      </c>
      <c r="L1686" s="21">
        <v>30054.25</v>
      </c>
      <c r="M1686" s="21">
        <v>197.5</v>
      </c>
      <c r="N1686" s="2" t="s">
        <v>79</v>
      </c>
    </row>
    <row r="1687" s="2" customFormat="1" spans="1:14">
      <c r="A1687" s="20">
        <v>45813</v>
      </c>
      <c r="B1687" s="2" t="s">
        <v>98</v>
      </c>
      <c r="C1687" s="2" t="s">
        <v>99</v>
      </c>
      <c r="D1687" s="2">
        <v>1</v>
      </c>
      <c r="E1687" s="2">
        <v>851</v>
      </c>
      <c r="F1687" s="2">
        <v>110</v>
      </c>
      <c r="G1687" s="2">
        <v>139718</v>
      </c>
      <c r="H1687" s="2">
        <v>4</v>
      </c>
      <c r="I1687" s="2" t="s">
        <v>78</v>
      </c>
      <c r="J1687" s="3">
        <v>0.129259694477086</v>
      </c>
      <c r="K1687" s="21">
        <v>1270.16363636364</v>
      </c>
      <c r="L1687" s="21">
        <v>34929.5</v>
      </c>
      <c r="M1687" s="21">
        <v>212.75</v>
      </c>
      <c r="N1687" s="2" t="s">
        <v>79</v>
      </c>
    </row>
    <row r="1688" s="2" customFormat="1" spans="1:14">
      <c r="A1688" s="20">
        <v>45814</v>
      </c>
      <c r="B1688" s="2" t="s">
        <v>98</v>
      </c>
      <c r="C1688" s="2" t="s">
        <v>99</v>
      </c>
      <c r="D1688" s="2">
        <v>1</v>
      </c>
      <c r="E1688" s="2">
        <v>835</v>
      </c>
      <c r="F1688" s="2">
        <v>116</v>
      </c>
      <c r="G1688" s="2">
        <v>154017</v>
      </c>
      <c r="H1688" s="2">
        <v>7</v>
      </c>
      <c r="I1688" s="2" t="s">
        <v>78</v>
      </c>
      <c r="J1688" s="3">
        <v>0.138922155688623</v>
      </c>
      <c r="K1688" s="21">
        <v>1327.73275862069</v>
      </c>
      <c r="L1688" s="21">
        <v>22002.4285714286</v>
      </c>
      <c r="M1688" s="21">
        <v>119.285714285714</v>
      </c>
      <c r="N1688" s="2" t="s">
        <v>79</v>
      </c>
    </row>
    <row r="1689" s="2" customFormat="1" spans="1:14">
      <c r="A1689" s="20">
        <v>45815</v>
      </c>
      <c r="B1689" s="2" t="s">
        <v>98</v>
      </c>
      <c r="C1689" s="2" t="s">
        <v>99</v>
      </c>
      <c r="D1689" s="2">
        <v>1</v>
      </c>
      <c r="E1689" s="2">
        <v>1262</v>
      </c>
      <c r="F1689" s="2">
        <v>148</v>
      </c>
      <c r="G1689" s="2">
        <v>186307</v>
      </c>
      <c r="H1689" s="2">
        <v>4</v>
      </c>
      <c r="I1689" s="2" t="s">
        <v>81</v>
      </c>
      <c r="J1689" s="3">
        <v>0.117274167987322</v>
      </c>
      <c r="K1689" s="21">
        <v>1258.83108108108</v>
      </c>
      <c r="L1689" s="21">
        <v>46576.75</v>
      </c>
      <c r="M1689" s="21">
        <v>315.5</v>
      </c>
      <c r="N1689" s="2" t="s">
        <v>80</v>
      </c>
    </row>
    <row r="1690" s="2" customFormat="1" spans="1:14">
      <c r="A1690" s="20">
        <v>45816</v>
      </c>
      <c r="B1690" s="2" t="s">
        <v>98</v>
      </c>
      <c r="C1690" s="2" t="s">
        <v>99</v>
      </c>
      <c r="D1690" s="2">
        <v>1</v>
      </c>
      <c r="E1690" s="2">
        <v>1216</v>
      </c>
      <c r="F1690" s="2">
        <v>161</v>
      </c>
      <c r="G1690" s="2">
        <v>254500</v>
      </c>
      <c r="H1690" s="2">
        <v>9</v>
      </c>
      <c r="I1690" s="2" t="s">
        <v>78</v>
      </c>
      <c r="J1690" s="3">
        <v>0.132401315789474</v>
      </c>
      <c r="K1690" s="21">
        <v>1580.74534161491</v>
      </c>
      <c r="L1690" s="21">
        <v>28277.7777777778</v>
      </c>
      <c r="M1690" s="21">
        <v>135.111111111111</v>
      </c>
      <c r="N1690" s="2" t="s">
        <v>80</v>
      </c>
    </row>
    <row r="1691" s="2" customFormat="1" spans="1:14">
      <c r="A1691" s="20">
        <v>45817</v>
      </c>
      <c r="B1691" s="2" t="s">
        <v>98</v>
      </c>
      <c r="C1691" s="2" t="s">
        <v>99</v>
      </c>
      <c r="D1691" s="2">
        <v>1</v>
      </c>
      <c r="E1691" s="2">
        <v>765</v>
      </c>
      <c r="F1691" s="2">
        <v>95</v>
      </c>
      <c r="G1691" s="2">
        <v>122978</v>
      </c>
      <c r="H1691" s="2">
        <v>6</v>
      </c>
      <c r="I1691" s="2" t="s">
        <v>81</v>
      </c>
      <c r="J1691" s="3">
        <v>0.124183006535948</v>
      </c>
      <c r="K1691" s="21">
        <v>1294.50526315789</v>
      </c>
      <c r="L1691" s="21">
        <v>20496.3333333333</v>
      </c>
      <c r="M1691" s="21">
        <v>127.5</v>
      </c>
      <c r="N1691" s="2" t="s">
        <v>79</v>
      </c>
    </row>
    <row r="1692" s="2" customFormat="1" spans="1:14">
      <c r="A1692" s="20">
        <v>45818</v>
      </c>
      <c r="B1692" s="2" t="s">
        <v>98</v>
      </c>
      <c r="C1692" s="2" t="s">
        <v>99</v>
      </c>
      <c r="D1692" s="2">
        <v>1</v>
      </c>
      <c r="E1692" s="2">
        <v>896</v>
      </c>
      <c r="F1692" s="2">
        <v>111</v>
      </c>
      <c r="G1692" s="2">
        <v>162147</v>
      </c>
      <c r="H1692" s="2">
        <v>6</v>
      </c>
      <c r="I1692" s="2" t="s">
        <v>78</v>
      </c>
      <c r="J1692" s="3">
        <v>0.123883928571429</v>
      </c>
      <c r="K1692" s="21">
        <v>1460.78378378378</v>
      </c>
      <c r="L1692" s="21">
        <v>27024.5</v>
      </c>
      <c r="M1692" s="21">
        <v>149.333333333333</v>
      </c>
      <c r="N1692" s="2" t="s">
        <v>79</v>
      </c>
    </row>
    <row r="1693" s="2" customFormat="1" spans="1:14">
      <c r="A1693" s="20">
        <v>45819</v>
      </c>
      <c r="B1693" s="2" t="s">
        <v>98</v>
      </c>
      <c r="C1693" s="2" t="s">
        <v>99</v>
      </c>
      <c r="D1693" s="2">
        <v>1</v>
      </c>
      <c r="E1693" s="2">
        <v>798</v>
      </c>
      <c r="F1693" s="2">
        <v>111</v>
      </c>
      <c r="G1693" s="2">
        <v>138218</v>
      </c>
      <c r="H1693" s="2">
        <v>4</v>
      </c>
      <c r="I1693" s="2" t="s">
        <v>78</v>
      </c>
      <c r="J1693" s="3">
        <v>0.139097744360902</v>
      </c>
      <c r="K1693" s="21">
        <v>1245.20720720721</v>
      </c>
      <c r="L1693" s="21">
        <v>34554.5</v>
      </c>
      <c r="M1693" s="21">
        <v>199.5</v>
      </c>
      <c r="N1693" s="2" t="s">
        <v>79</v>
      </c>
    </row>
    <row r="1694" s="2" customFormat="1" spans="1:14">
      <c r="A1694" s="20">
        <v>45820</v>
      </c>
      <c r="B1694" s="2" t="s">
        <v>98</v>
      </c>
      <c r="C1694" s="2" t="s">
        <v>99</v>
      </c>
      <c r="D1694" s="2">
        <v>1</v>
      </c>
      <c r="E1694" s="2">
        <v>934</v>
      </c>
      <c r="F1694" s="2">
        <v>116</v>
      </c>
      <c r="G1694" s="2">
        <v>176136</v>
      </c>
      <c r="H1694" s="2">
        <v>5</v>
      </c>
      <c r="I1694" s="2" t="s">
        <v>78</v>
      </c>
      <c r="J1694" s="3">
        <v>0.124197002141328</v>
      </c>
      <c r="K1694" s="21">
        <v>1518.41379310345</v>
      </c>
      <c r="L1694" s="21">
        <v>35227.2</v>
      </c>
      <c r="M1694" s="21">
        <v>186.8</v>
      </c>
      <c r="N1694" s="2" t="s">
        <v>79</v>
      </c>
    </row>
    <row r="1695" s="2" customFormat="1" spans="1:14">
      <c r="A1695" s="20">
        <v>45821</v>
      </c>
      <c r="B1695" s="2" t="s">
        <v>98</v>
      </c>
      <c r="C1695" s="2" t="s">
        <v>99</v>
      </c>
      <c r="D1695" s="2">
        <v>1</v>
      </c>
      <c r="E1695" s="2">
        <v>990</v>
      </c>
      <c r="F1695" s="2">
        <v>128</v>
      </c>
      <c r="G1695" s="2">
        <v>171138</v>
      </c>
      <c r="H1695" s="2">
        <v>7</v>
      </c>
      <c r="I1695" s="2" t="s">
        <v>78</v>
      </c>
      <c r="J1695" s="3">
        <v>0.129292929292929</v>
      </c>
      <c r="K1695" s="21">
        <v>1337.015625</v>
      </c>
      <c r="L1695" s="21">
        <v>24448.2857142857</v>
      </c>
      <c r="M1695" s="21">
        <v>141.428571428571</v>
      </c>
      <c r="N1695" s="2" t="s">
        <v>79</v>
      </c>
    </row>
    <row r="1696" s="2" customFormat="1" spans="1:14">
      <c r="A1696" s="20">
        <v>45822</v>
      </c>
      <c r="B1696" s="2" t="s">
        <v>98</v>
      </c>
      <c r="C1696" s="2" t="s">
        <v>99</v>
      </c>
      <c r="D1696" s="2">
        <v>1</v>
      </c>
      <c r="E1696" s="2">
        <v>1304</v>
      </c>
      <c r="F1696" s="2">
        <v>189</v>
      </c>
      <c r="G1696" s="2">
        <v>226862</v>
      </c>
      <c r="H1696" s="2">
        <v>6</v>
      </c>
      <c r="I1696" s="2" t="s">
        <v>78</v>
      </c>
      <c r="J1696" s="3">
        <v>0.144938650306748</v>
      </c>
      <c r="K1696" s="21">
        <v>1200.32804232804</v>
      </c>
      <c r="L1696" s="21">
        <v>37810.3333333333</v>
      </c>
      <c r="M1696" s="21">
        <v>217.333333333333</v>
      </c>
      <c r="N1696" s="2" t="s">
        <v>80</v>
      </c>
    </row>
    <row r="1697" s="2" customFormat="1" spans="1:14">
      <c r="A1697" s="20">
        <v>45823</v>
      </c>
      <c r="B1697" s="2" t="s">
        <v>98</v>
      </c>
      <c r="C1697" s="2" t="s">
        <v>99</v>
      </c>
      <c r="D1697" s="2">
        <v>1</v>
      </c>
      <c r="E1697" s="2">
        <v>1577</v>
      </c>
      <c r="F1697" s="2">
        <v>184</v>
      </c>
      <c r="G1697" s="2">
        <v>271827</v>
      </c>
      <c r="H1697" s="2">
        <v>4</v>
      </c>
      <c r="I1697" s="2" t="s">
        <v>78</v>
      </c>
      <c r="J1697" s="3">
        <v>0.116677235256817</v>
      </c>
      <c r="K1697" s="21">
        <v>1477.32065217391</v>
      </c>
      <c r="L1697" s="21">
        <v>67956.75</v>
      </c>
      <c r="M1697" s="21">
        <v>394.25</v>
      </c>
      <c r="N1697" s="2" t="s">
        <v>80</v>
      </c>
    </row>
    <row r="1698" s="2" customFormat="1" spans="1:14">
      <c r="A1698" s="20">
        <v>45824</v>
      </c>
      <c r="B1698" s="2" t="s">
        <v>98</v>
      </c>
      <c r="C1698" s="2" t="s">
        <v>99</v>
      </c>
      <c r="D1698" s="2">
        <v>1</v>
      </c>
      <c r="E1698" s="2">
        <v>888</v>
      </c>
      <c r="F1698" s="2">
        <v>114</v>
      </c>
      <c r="G1698" s="2">
        <v>142688</v>
      </c>
      <c r="H1698" s="2">
        <v>9</v>
      </c>
      <c r="I1698" s="2" t="s">
        <v>78</v>
      </c>
      <c r="J1698" s="3">
        <v>0.128378378378378</v>
      </c>
      <c r="K1698" s="21">
        <v>1251.64912280702</v>
      </c>
      <c r="L1698" s="21">
        <v>15854.2222222222</v>
      </c>
      <c r="M1698" s="21">
        <v>98.6666666666667</v>
      </c>
      <c r="N1698" s="2" t="s">
        <v>79</v>
      </c>
    </row>
    <row r="1699" s="2" customFormat="1" spans="1:14">
      <c r="A1699" s="20">
        <v>45825</v>
      </c>
      <c r="B1699" s="2" t="s">
        <v>98</v>
      </c>
      <c r="C1699" s="2" t="s">
        <v>99</v>
      </c>
      <c r="D1699" s="2">
        <v>1</v>
      </c>
      <c r="E1699" s="2">
        <v>933</v>
      </c>
      <c r="F1699" s="2">
        <v>145</v>
      </c>
      <c r="G1699" s="2">
        <v>213819</v>
      </c>
      <c r="H1699" s="2">
        <v>9</v>
      </c>
      <c r="I1699" s="2" t="s">
        <v>78</v>
      </c>
      <c r="J1699" s="3">
        <v>0.155412647374062</v>
      </c>
      <c r="K1699" s="21">
        <v>1474.61379310345</v>
      </c>
      <c r="L1699" s="21">
        <v>23757.6666666667</v>
      </c>
      <c r="M1699" s="21">
        <v>103.666666666667</v>
      </c>
      <c r="N1699" s="2" t="s">
        <v>79</v>
      </c>
    </row>
    <row r="1700" s="2" customFormat="1" spans="1:14">
      <c r="A1700" s="20">
        <v>45826</v>
      </c>
      <c r="B1700" s="2" t="s">
        <v>98</v>
      </c>
      <c r="C1700" s="2" t="s">
        <v>99</v>
      </c>
      <c r="D1700" s="2">
        <v>1</v>
      </c>
      <c r="E1700" s="2">
        <v>930</v>
      </c>
      <c r="F1700" s="2">
        <v>128</v>
      </c>
      <c r="G1700" s="2">
        <v>200873</v>
      </c>
      <c r="H1700" s="2">
        <v>9</v>
      </c>
      <c r="I1700" s="2" t="s">
        <v>78</v>
      </c>
      <c r="J1700" s="3">
        <v>0.137634408602151</v>
      </c>
      <c r="K1700" s="21">
        <v>1569.3203125</v>
      </c>
      <c r="L1700" s="21">
        <v>22319.2222222222</v>
      </c>
      <c r="M1700" s="21">
        <v>103.333333333333</v>
      </c>
      <c r="N1700" s="2" t="s">
        <v>79</v>
      </c>
    </row>
    <row r="1701" s="2" customFormat="1" spans="1:14">
      <c r="A1701" s="20">
        <v>45827</v>
      </c>
      <c r="B1701" s="2" t="s">
        <v>98</v>
      </c>
      <c r="C1701" s="2" t="s">
        <v>99</v>
      </c>
      <c r="D1701" s="2">
        <v>1</v>
      </c>
      <c r="E1701" s="2">
        <v>905</v>
      </c>
      <c r="F1701" s="2">
        <v>113</v>
      </c>
      <c r="G1701" s="2">
        <v>140999</v>
      </c>
      <c r="H1701" s="2">
        <v>4</v>
      </c>
      <c r="I1701" s="2" t="s">
        <v>78</v>
      </c>
      <c r="J1701" s="3">
        <v>0.124861878453039</v>
      </c>
      <c r="K1701" s="21">
        <v>1247.77876106195</v>
      </c>
      <c r="L1701" s="21">
        <v>35249.75</v>
      </c>
      <c r="M1701" s="21">
        <v>226.25</v>
      </c>
      <c r="N1701" s="2" t="s">
        <v>79</v>
      </c>
    </row>
    <row r="1702" s="2" customFormat="1" spans="1:14">
      <c r="A1702" s="20">
        <v>45828</v>
      </c>
      <c r="B1702" s="2" t="s">
        <v>98</v>
      </c>
      <c r="C1702" s="2" t="s">
        <v>99</v>
      </c>
      <c r="D1702" s="2">
        <v>1</v>
      </c>
      <c r="E1702" s="2">
        <v>776</v>
      </c>
      <c r="F1702" s="2">
        <v>99</v>
      </c>
      <c r="G1702" s="2">
        <v>127246</v>
      </c>
      <c r="H1702" s="2">
        <v>7</v>
      </c>
      <c r="I1702" s="2" t="s">
        <v>78</v>
      </c>
      <c r="J1702" s="3">
        <v>0.127577319587629</v>
      </c>
      <c r="K1702" s="21">
        <v>1285.31313131313</v>
      </c>
      <c r="L1702" s="21">
        <v>18178</v>
      </c>
      <c r="M1702" s="21">
        <v>110.857142857143</v>
      </c>
      <c r="N1702" s="2" t="s">
        <v>79</v>
      </c>
    </row>
    <row r="1703" s="2" customFormat="1" spans="1:14">
      <c r="A1703" s="20">
        <v>45829</v>
      </c>
      <c r="B1703" s="2" t="s">
        <v>98</v>
      </c>
      <c r="C1703" s="2" t="s">
        <v>99</v>
      </c>
      <c r="D1703" s="2">
        <v>1</v>
      </c>
      <c r="E1703" s="2">
        <v>1214</v>
      </c>
      <c r="F1703" s="2">
        <v>155</v>
      </c>
      <c r="G1703" s="2">
        <v>220037</v>
      </c>
      <c r="H1703" s="2">
        <v>4</v>
      </c>
      <c r="I1703" s="2" t="s">
        <v>78</v>
      </c>
      <c r="J1703" s="3">
        <v>0.127677100494234</v>
      </c>
      <c r="K1703" s="21">
        <v>1419.5935483871</v>
      </c>
      <c r="L1703" s="21">
        <v>55009.25</v>
      </c>
      <c r="M1703" s="21">
        <v>303.5</v>
      </c>
      <c r="N1703" s="2" t="s">
        <v>80</v>
      </c>
    </row>
    <row r="1704" s="2" customFormat="1" spans="1:14">
      <c r="A1704" s="20">
        <v>45830</v>
      </c>
      <c r="B1704" s="2" t="s">
        <v>98</v>
      </c>
      <c r="C1704" s="2" t="s">
        <v>99</v>
      </c>
      <c r="D1704" s="2">
        <v>1</v>
      </c>
      <c r="E1704" s="2">
        <v>1149</v>
      </c>
      <c r="F1704" s="2">
        <v>164</v>
      </c>
      <c r="G1704" s="2">
        <v>213476</v>
      </c>
      <c r="H1704" s="2">
        <v>7</v>
      </c>
      <c r="I1704" s="2" t="s">
        <v>78</v>
      </c>
      <c r="J1704" s="3">
        <v>0.142732811140122</v>
      </c>
      <c r="K1704" s="21">
        <v>1301.68292682927</v>
      </c>
      <c r="L1704" s="21">
        <v>30496.5714285714</v>
      </c>
      <c r="M1704" s="21">
        <v>164.142857142857</v>
      </c>
      <c r="N1704" s="2" t="s">
        <v>80</v>
      </c>
    </row>
    <row r="1705" s="2" customFormat="1" spans="1:14">
      <c r="A1705" s="20">
        <v>45831</v>
      </c>
      <c r="B1705" s="2" t="s">
        <v>98</v>
      </c>
      <c r="C1705" s="2" t="s">
        <v>99</v>
      </c>
      <c r="D1705" s="2">
        <v>1</v>
      </c>
      <c r="E1705" s="2">
        <v>742</v>
      </c>
      <c r="F1705" s="2">
        <v>97</v>
      </c>
      <c r="G1705" s="2">
        <v>142632</v>
      </c>
      <c r="H1705" s="2">
        <v>9</v>
      </c>
      <c r="I1705" s="2" t="s">
        <v>78</v>
      </c>
      <c r="J1705" s="3">
        <v>0.130727762803235</v>
      </c>
      <c r="K1705" s="21">
        <v>1470.43298969072</v>
      </c>
      <c r="L1705" s="21">
        <v>15848</v>
      </c>
      <c r="M1705" s="21">
        <v>82.4444444444444</v>
      </c>
      <c r="N1705" s="2" t="s">
        <v>79</v>
      </c>
    </row>
    <row r="1706" s="2" customFormat="1" spans="1:14">
      <c r="A1706" s="20">
        <v>45832</v>
      </c>
      <c r="B1706" s="2" t="s">
        <v>98</v>
      </c>
      <c r="C1706" s="2" t="s">
        <v>99</v>
      </c>
      <c r="D1706" s="2">
        <v>1</v>
      </c>
      <c r="E1706" s="2">
        <v>860</v>
      </c>
      <c r="F1706" s="2">
        <v>110</v>
      </c>
      <c r="G1706" s="2">
        <v>144177</v>
      </c>
      <c r="H1706" s="2">
        <v>4</v>
      </c>
      <c r="I1706" s="2" t="s">
        <v>81</v>
      </c>
      <c r="J1706" s="3">
        <v>0.127906976744186</v>
      </c>
      <c r="K1706" s="21">
        <v>1310.7</v>
      </c>
      <c r="L1706" s="21">
        <v>36044.25</v>
      </c>
      <c r="M1706" s="21">
        <v>215</v>
      </c>
      <c r="N1706" s="2" t="s">
        <v>79</v>
      </c>
    </row>
    <row r="1707" s="2" customFormat="1" spans="1:14">
      <c r="A1707" s="20">
        <v>45833</v>
      </c>
      <c r="B1707" s="2" t="s">
        <v>98</v>
      </c>
      <c r="C1707" s="2" t="s">
        <v>99</v>
      </c>
      <c r="D1707" s="2">
        <v>1</v>
      </c>
      <c r="E1707" s="2">
        <v>834</v>
      </c>
      <c r="F1707" s="2">
        <v>122</v>
      </c>
      <c r="G1707" s="2">
        <v>138897</v>
      </c>
      <c r="H1707" s="2">
        <v>8</v>
      </c>
      <c r="I1707" s="2" t="s">
        <v>81</v>
      </c>
      <c r="J1707" s="3">
        <v>0.146282973621103</v>
      </c>
      <c r="K1707" s="21">
        <v>1138.5</v>
      </c>
      <c r="L1707" s="21">
        <v>17362.125</v>
      </c>
      <c r="M1707" s="21">
        <v>104.25</v>
      </c>
      <c r="N1707" s="2" t="s">
        <v>79</v>
      </c>
    </row>
    <row r="1708" s="2" customFormat="1" spans="1:14">
      <c r="A1708" s="20">
        <v>45834</v>
      </c>
      <c r="B1708" s="2" t="s">
        <v>98</v>
      </c>
      <c r="C1708" s="2" t="s">
        <v>99</v>
      </c>
      <c r="D1708" s="2">
        <v>1</v>
      </c>
      <c r="E1708" s="2">
        <v>877</v>
      </c>
      <c r="F1708" s="2">
        <v>111</v>
      </c>
      <c r="G1708" s="2">
        <v>188076</v>
      </c>
      <c r="H1708" s="2">
        <v>7</v>
      </c>
      <c r="I1708" s="2" t="s">
        <v>78</v>
      </c>
      <c r="J1708" s="3">
        <v>0.126567844925884</v>
      </c>
      <c r="K1708" s="21">
        <v>1694.37837837838</v>
      </c>
      <c r="L1708" s="21">
        <v>26868</v>
      </c>
      <c r="M1708" s="21">
        <v>125.285714285714</v>
      </c>
      <c r="N1708" s="2" t="s">
        <v>79</v>
      </c>
    </row>
    <row r="1709" s="2" customFormat="1" spans="1:14">
      <c r="A1709" s="20">
        <v>45835</v>
      </c>
      <c r="B1709" s="2" t="s">
        <v>98</v>
      </c>
      <c r="C1709" s="2" t="s">
        <v>99</v>
      </c>
      <c r="D1709" s="2">
        <v>1</v>
      </c>
      <c r="E1709" s="2">
        <v>1049</v>
      </c>
      <c r="F1709" s="2">
        <v>159</v>
      </c>
      <c r="G1709" s="2">
        <v>200842</v>
      </c>
      <c r="H1709" s="2">
        <v>9</v>
      </c>
      <c r="I1709" s="2" t="s">
        <v>78</v>
      </c>
      <c r="J1709" s="3">
        <v>0.151572926596759</v>
      </c>
      <c r="K1709" s="21">
        <v>1263.1572327044</v>
      </c>
      <c r="L1709" s="21">
        <v>22315.7777777778</v>
      </c>
      <c r="M1709" s="21">
        <v>116.555555555556</v>
      </c>
      <c r="N1709" s="2" t="s">
        <v>79</v>
      </c>
    </row>
    <row r="1710" s="2" customFormat="1" spans="1:14">
      <c r="A1710" s="20">
        <v>45836</v>
      </c>
      <c r="B1710" s="2" t="s">
        <v>98</v>
      </c>
      <c r="C1710" s="2" t="s">
        <v>99</v>
      </c>
      <c r="D1710" s="2">
        <v>1</v>
      </c>
      <c r="E1710" s="2">
        <v>1181</v>
      </c>
      <c r="F1710" s="2">
        <v>149</v>
      </c>
      <c r="G1710" s="2">
        <v>241638</v>
      </c>
      <c r="H1710" s="2">
        <v>4</v>
      </c>
      <c r="I1710" s="2" t="s">
        <v>78</v>
      </c>
      <c r="J1710" s="3">
        <v>0.126164267569856</v>
      </c>
      <c r="K1710" s="21">
        <v>1621.73154362416</v>
      </c>
      <c r="L1710" s="21">
        <v>60409.5</v>
      </c>
      <c r="M1710" s="21">
        <v>295.25</v>
      </c>
      <c r="N1710" s="2" t="s">
        <v>80</v>
      </c>
    </row>
    <row r="1711" s="2" customFormat="1" spans="1:14">
      <c r="A1711" s="20">
        <v>45837</v>
      </c>
      <c r="B1711" s="2" t="s">
        <v>98</v>
      </c>
      <c r="C1711" s="2" t="s">
        <v>99</v>
      </c>
      <c r="D1711" s="2">
        <v>1</v>
      </c>
      <c r="E1711" s="2">
        <v>1174</v>
      </c>
      <c r="F1711" s="2">
        <v>163</v>
      </c>
      <c r="G1711" s="2">
        <v>193899</v>
      </c>
      <c r="H1711" s="2">
        <v>8</v>
      </c>
      <c r="I1711" s="2" t="s">
        <v>78</v>
      </c>
      <c r="J1711" s="3">
        <v>0.138841567291312</v>
      </c>
      <c r="K1711" s="21">
        <v>1189.56441717791</v>
      </c>
      <c r="L1711" s="21">
        <v>24237.375</v>
      </c>
      <c r="M1711" s="21">
        <v>146.75</v>
      </c>
      <c r="N1711" s="2" t="s">
        <v>80</v>
      </c>
    </row>
    <row r="1712" s="2" customFormat="1" spans="1:14">
      <c r="A1712" s="20">
        <v>45838</v>
      </c>
      <c r="B1712" s="2" t="s">
        <v>98</v>
      </c>
      <c r="C1712" s="2" t="s">
        <v>99</v>
      </c>
      <c r="D1712" s="2">
        <v>1</v>
      </c>
      <c r="E1712" s="2">
        <v>874</v>
      </c>
      <c r="F1712" s="2">
        <v>132</v>
      </c>
      <c r="G1712" s="2">
        <v>195185</v>
      </c>
      <c r="H1712" s="2">
        <v>9</v>
      </c>
      <c r="I1712" s="2" t="s">
        <v>81</v>
      </c>
      <c r="J1712" s="3">
        <v>0.151029748283753</v>
      </c>
      <c r="K1712" s="21">
        <v>1478.67424242424</v>
      </c>
      <c r="L1712" s="21">
        <v>21687.2222222222</v>
      </c>
      <c r="M1712" s="21">
        <v>97.1111111111111</v>
      </c>
      <c r="N1712" s="2" t="s">
        <v>79</v>
      </c>
    </row>
    <row r="1713" s="2" customFormat="1" spans="1:14">
      <c r="A1713" s="20">
        <v>45839</v>
      </c>
      <c r="B1713" s="2" t="s">
        <v>98</v>
      </c>
      <c r="C1713" s="2" t="s">
        <v>99</v>
      </c>
      <c r="D1713" s="2">
        <v>1</v>
      </c>
      <c r="E1713" s="2">
        <v>720</v>
      </c>
      <c r="F1713" s="2">
        <v>86</v>
      </c>
      <c r="G1713" s="2">
        <v>112790</v>
      </c>
      <c r="H1713" s="2">
        <v>6</v>
      </c>
      <c r="I1713" s="2" t="s">
        <v>81</v>
      </c>
      <c r="J1713" s="3">
        <v>0.119444444444445</v>
      </c>
      <c r="K1713" s="21">
        <v>1311.51162790698</v>
      </c>
      <c r="L1713" s="21">
        <v>18798.3333333333</v>
      </c>
      <c r="M1713" s="21">
        <v>120</v>
      </c>
      <c r="N1713" s="2" t="s">
        <v>79</v>
      </c>
    </row>
    <row r="1714" s="2" customFormat="1" spans="1:14">
      <c r="A1714" s="20">
        <v>45840</v>
      </c>
      <c r="B1714" s="2" t="s">
        <v>98</v>
      </c>
      <c r="C1714" s="2" t="s">
        <v>99</v>
      </c>
      <c r="D1714" s="2">
        <v>1</v>
      </c>
      <c r="E1714" s="2">
        <v>983</v>
      </c>
      <c r="F1714" s="2">
        <v>141</v>
      </c>
      <c r="G1714" s="2">
        <v>167712</v>
      </c>
      <c r="H1714" s="2">
        <v>9</v>
      </c>
      <c r="I1714" s="2" t="s">
        <v>78</v>
      </c>
      <c r="J1714" s="3">
        <v>0.143438453713123</v>
      </c>
      <c r="K1714" s="21">
        <v>1189.44680851064</v>
      </c>
      <c r="L1714" s="21">
        <v>18634.6666666667</v>
      </c>
      <c r="M1714" s="21">
        <v>109.222222222222</v>
      </c>
      <c r="N1714" s="2" t="s">
        <v>79</v>
      </c>
    </row>
    <row r="1715" s="2" customFormat="1" spans="1:14">
      <c r="A1715" s="20">
        <v>45841</v>
      </c>
      <c r="B1715" s="2" t="s">
        <v>98</v>
      </c>
      <c r="C1715" s="2" t="s">
        <v>99</v>
      </c>
      <c r="D1715" s="2">
        <v>1</v>
      </c>
      <c r="E1715" s="2">
        <v>857</v>
      </c>
      <c r="F1715" s="2">
        <v>120</v>
      </c>
      <c r="G1715" s="2">
        <v>133640</v>
      </c>
      <c r="H1715" s="2">
        <v>4</v>
      </c>
      <c r="I1715" s="2" t="s">
        <v>78</v>
      </c>
      <c r="J1715" s="3">
        <v>0.14002333722287</v>
      </c>
      <c r="K1715" s="21">
        <v>1113.66666666667</v>
      </c>
      <c r="L1715" s="21">
        <v>33410</v>
      </c>
      <c r="M1715" s="21">
        <v>214.25</v>
      </c>
      <c r="N1715" s="2" t="s">
        <v>79</v>
      </c>
    </row>
    <row r="1716" s="2" customFormat="1" spans="1:14">
      <c r="A1716" s="20">
        <v>45842</v>
      </c>
      <c r="B1716" s="2" t="s">
        <v>98</v>
      </c>
      <c r="C1716" s="2" t="s">
        <v>99</v>
      </c>
      <c r="D1716" s="2">
        <v>1</v>
      </c>
      <c r="E1716" s="2">
        <v>1011</v>
      </c>
      <c r="F1716" s="2">
        <v>147</v>
      </c>
      <c r="G1716" s="2">
        <v>240754</v>
      </c>
      <c r="H1716" s="2">
        <v>9</v>
      </c>
      <c r="I1716" s="2" t="s">
        <v>78</v>
      </c>
      <c r="J1716" s="3">
        <v>0.14540059347181</v>
      </c>
      <c r="K1716" s="21">
        <v>1637.78231292517</v>
      </c>
      <c r="L1716" s="21">
        <v>26750.4444444444</v>
      </c>
      <c r="M1716" s="21">
        <v>112.333333333333</v>
      </c>
      <c r="N1716" s="2" t="s">
        <v>79</v>
      </c>
    </row>
    <row r="1717" s="2" customFormat="1" spans="1:14">
      <c r="A1717" s="20">
        <v>45843</v>
      </c>
      <c r="B1717" s="2" t="s">
        <v>98</v>
      </c>
      <c r="C1717" s="2" t="s">
        <v>99</v>
      </c>
      <c r="D1717" s="2">
        <v>1</v>
      </c>
      <c r="E1717" s="2">
        <v>1328</v>
      </c>
      <c r="F1717" s="2">
        <v>167</v>
      </c>
      <c r="G1717" s="2">
        <v>187139</v>
      </c>
      <c r="H1717" s="2">
        <v>7</v>
      </c>
      <c r="I1717" s="2" t="s">
        <v>78</v>
      </c>
      <c r="J1717" s="3">
        <v>0.125753012048193</v>
      </c>
      <c r="K1717" s="21">
        <v>1120.59281437126</v>
      </c>
      <c r="L1717" s="21">
        <v>26734.1428571429</v>
      </c>
      <c r="M1717" s="21">
        <v>189.714285714286</v>
      </c>
      <c r="N1717" s="2" t="s">
        <v>80</v>
      </c>
    </row>
    <row r="1718" s="2" customFormat="1" spans="1:14">
      <c r="A1718" s="20">
        <v>45844</v>
      </c>
      <c r="B1718" s="2" t="s">
        <v>98</v>
      </c>
      <c r="C1718" s="2" t="s">
        <v>99</v>
      </c>
      <c r="D1718" s="2">
        <v>1</v>
      </c>
      <c r="E1718" s="2">
        <v>1151</v>
      </c>
      <c r="F1718" s="2">
        <v>168</v>
      </c>
      <c r="G1718" s="2">
        <v>188828</v>
      </c>
      <c r="H1718" s="2">
        <v>7</v>
      </c>
      <c r="I1718" s="2" t="s">
        <v>78</v>
      </c>
      <c r="J1718" s="3">
        <v>0.145960034752389</v>
      </c>
      <c r="K1718" s="21">
        <v>1123.97619047619</v>
      </c>
      <c r="L1718" s="21">
        <v>26975.4285714286</v>
      </c>
      <c r="M1718" s="21">
        <v>164.428571428571</v>
      </c>
      <c r="N1718" s="2" t="s">
        <v>80</v>
      </c>
    </row>
    <row r="1719" s="2" customFormat="1" spans="1:14">
      <c r="A1719" s="20">
        <v>45845</v>
      </c>
      <c r="B1719" s="2" t="s">
        <v>98</v>
      </c>
      <c r="C1719" s="2" t="s">
        <v>99</v>
      </c>
      <c r="D1719" s="2">
        <v>1</v>
      </c>
      <c r="E1719" s="2">
        <v>736</v>
      </c>
      <c r="F1719" s="2">
        <v>98</v>
      </c>
      <c r="G1719" s="2">
        <v>122491</v>
      </c>
      <c r="H1719" s="2">
        <v>9</v>
      </c>
      <c r="I1719" s="2" t="s">
        <v>78</v>
      </c>
      <c r="J1719" s="3">
        <v>0.133152173913043</v>
      </c>
      <c r="K1719" s="21">
        <v>1249.90816326531</v>
      </c>
      <c r="L1719" s="21">
        <v>13610.1111111111</v>
      </c>
      <c r="M1719" s="21">
        <v>81.7777777777778</v>
      </c>
      <c r="N1719" s="2" t="s">
        <v>79</v>
      </c>
    </row>
    <row r="1720" s="2" customFormat="1" spans="1:14">
      <c r="A1720" s="20">
        <v>45846</v>
      </c>
      <c r="B1720" s="2" t="s">
        <v>98</v>
      </c>
      <c r="C1720" s="2" t="s">
        <v>99</v>
      </c>
      <c r="D1720" s="2">
        <v>1</v>
      </c>
      <c r="E1720" s="2">
        <v>798</v>
      </c>
      <c r="F1720" s="2">
        <v>106</v>
      </c>
      <c r="G1720" s="2">
        <v>143251</v>
      </c>
      <c r="H1720" s="2">
        <v>7</v>
      </c>
      <c r="I1720" s="2" t="s">
        <v>78</v>
      </c>
      <c r="J1720" s="3">
        <v>0.132832080200501</v>
      </c>
      <c r="K1720" s="21">
        <v>1351.42452830189</v>
      </c>
      <c r="L1720" s="21">
        <v>20464.4285714286</v>
      </c>
      <c r="M1720" s="21">
        <v>114</v>
      </c>
      <c r="N1720" s="2" t="s">
        <v>79</v>
      </c>
    </row>
    <row r="1721" s="2" customFormat="1" spans="1:14">
      <c r="A1721" s="20">
        <v>45847</v>
      </c>
      <c r="B1721" s="2" t="s">
        <v>98</v>
      </c>
      <c r="C1721" s="2" t="s">
        <v>99</v>
      </c>
      <c r="D1721" s="2">
        <v>1</v>
      </c>
      <c r="E1721" s="2">
        <v>982</v>
      </c>
      <c r="F1721" s="2">
        <v>133</v>
      </c>
      <c r="G1721" s="2">
        <v>210016</v>
      </c>
      <c r="H1721" s="2">
        <v>4</v>
      </c>
      <c r="I1721" s="2" t="s">
        <v>78</v>
      </c>
      <c r="J1721" s="3">
        <v>0.135437881873727</v>
      </c>
      <c r="K1721" s="21">
        <v>1579.06766917293</v>
      </c>
      <c r="L1721" s="21">
        <v>52504</v>
      </c>
      <c r="M1721" s="21">
        <v>245.5</v>
      </c>
      <c r="N1721" s="2" t="s">
        <v>79</v>
      </c>
    </row>
    <row r="1722" s="2" customFormat="1" spans="1:14">
      <c r="A1722" s="20">
        <v>45848</v>
      </c>
      <c r="B1722" s="2" t="s">
        <v>98</v>
      </c>
      <c r="C1722" s="2" t="s">
        <v>99</v>
      </c>
      <c r="D1722" s="2">
        <v>1</v>
      </c>
      <c r="E1722" s="2">
        <v>1008</v>
      </c>
      <c r="F1722" s="2">
        <v>143</v>
      </c>
      <c r="G1722" s="2">
        <v>176578</v>
      </c>
      <c r="H1722" s="2">
        <v>9</v>
      </c>
      <c r="I1722" s="2" t="s">
        <v>78</v>
      </c>
      <c r="J1722" s="3">
        <v>0.141865079365079</v>
      </c>
      <c r="K1722" s="21">
        <v>1234.81118881119</v>
      </c>
      <c r="L1722" s="21">
        <v>19619.7777777778</v>
      </c>
      <c r="M1722" s="21">
        <v>112</v>
      </c>
      <c r="N1722" s="2" t="s">
        <v>79</v>
      </c>
    </row>
    <row r="1723" s="2" customFormat="1" spans="1:14">
      <c r="A1723" s="20">
        <v>45849</v>
      </c>
      <c r="B1723" s="2" t="s">
        <v>98</v>
      </c>
      <c r="C1723" s="2" t="s">
        <v>99</v>
      </c>
      <c r="D1723" s="2">
        <v>1</v>
      </c>
      <c r="E1723" s="2">
        <v>911</v>
      </c>
      <c r="F1723" s="2">
        <v>118</v>
      </c>
      <c r="G1723" s="2">
        <v>147599</v>
      </c>
      <c r="H1723" s="2">
        <v>5</v>
      </c>
      <c r="I1723" s="2" t="s">
        <v>78</v>
      </c>
      <c r="J1723" s="3">
        <v>0.129527991218441</v>
      </c>
      <c r="K1723" s="21">
        <v>1250.83898305085</v>
      </c>
      <c r="L1723" s="21">
        <v>29519.8</v>
      </c>
      <c r="M1723" s="21">
        <v>182.2</v>
      </c>
      <c r="N1723" s="2" t="s">
        <v>79</v>
      </c>
    </row>
    <row r="1724" s="2" customFormat="1" spans="1:14">
      <c r="A1724" s="20">
        <v>45850</v>
      </c>
      <c r="B1724" s="2" t="s">
        <v>98</v>
      </c>
      <c r="C1724" s="2" t="s">
        <v>99</v>
      </c>
      <c r="D1724" s="2">
        <v>1</v>
      </c>
      <c r="E1724" s="2">
        <v>1398</v>
      </c>
      <c r="F1724" s="2">
        <v>181</v>
      </c>
      <c r="G1724" s="2">
        <v>201804</v>
      </c>
      <c r="H1724" s="2">
        <v>4</v>
      </c>
      <c r="I1724" s="2" t="s">
        <v>78</v>
      </c>
      <c r="J1724" s="3">
        <v>0.129470672389127</v>
      </c>
      <c r="K1724" s="21">
        <v>1114.93922651934</v>
      </c>
      <c r="L1724" s="21">
        <v>50451</v>
      </c>
      <c r="M1724" s="21">
        <v>349.5</v>
      </c>
      <c r="N1724" s="2" t="s">
        <v>80</v>
      </c>
    </row>
    <row r="1725" s="2" customFormat="1" spans="1:14">
      <c r="A1725" s="20">
        <v>45851</v>
      </c>
      <c r="B1725" s="2" t="s">
        <v>98</v>
      </c>
      <c r="C1725" s="2" t="s">
        <v>99</v>
      </c>
      <c r="D1725" s="2">
        <v>1</v>
      </c>
      <c r="E1725" s="2">
        <v>1141</v>
      </c>
      <c r="F1725" s="2">
        <v>163</v>
      </c>
      <c r="G1725" s="2">
        <v>250475</v>
      </c>
      <c r="H1725" s="2">
        <v>9</v>
      </c>
      <c r="I1725" s="2" t="s">
        <v>78</v>
      </c>
      <c r="J1725" s="3">
        <v>0.142857142857143</v>
      </c>
      <c r="K1725" s="21">
        <v>1536.65644171779</v>
      </c>
      <c r="L1725" s="21">
        <v>27830.5555555556</v>
      </c>
      <c r="M1725" s="21">
        <v>126.777777777778</v>
      </c>
      <c r="N1725" s="2" t="s">
        <v>80</v>
      </c>
    </row>
    <row r="1726" s="2" customFormat="1" spans="1:14">
      <c r="A1726" s="20">
        <v>45852</v>
      </c>
      <c r="B1726" s="2" t="s">
        <v>98</v>
      </c>
      <c r="C1726" s="2" t="s">
        <v>99</v>
      </c>
      <c r="D1726" s="2">
        <v>1</v>
      </c>
      <c r="E1726" s="2">
        <v>877</v>
      </c>
      <c r="F1726" s="2">
        <v>111</v>
      </c>
      <c r="G1726" s="2">
        <v>129950</v>
      </c>
      <c r="H1726" s="2">
        <v>7</v>
      </c>
      <c r="I1726" s="2" t="s">
        <v>78</v>
      </c>
      <c r="J1726" s="3">
        <v>0.126567844925884</v>
      </c>
      <c r="K1726" s="21">
        <v>1170.72072072072</v>
      </c>
      <c r="L1726" s="21">
        <v>18564.2857142857</v>
      </c>
      <c r="M1726" s="21">
        <v>125.285714285714</v>
      </c>
      <c r="N1726" s="2" t="s">
        <v>79</v>
      </c>
    </row>
    <row r="1727" s="2" customFormat="1" spans="1:14">
      <c r="A1727" s="20">
        <v>45853</v>
      </c>
      <c r="B1727" s="2" t="s">
        <v>98</v>
      </c>
      <c r="C1727" s="2" t="s">
        <v>99</v>
      </c>
      <c r="D1727" s="2">
        <v>1</v>
      </c>
      <c r="E1727" s="2">
        <v>842</v>
      </c>
      <c r="F1727" s="2">
        <v>114</v>
      </c>
      <c r="G1727" s="2">
        <v>184594</v>
      </c>
      <c r="H1727" s="2">
        <v>9</v>
      </c>
      <c r="I1727" s="2" t="s">
        <v>78</v>
      </c>
      <c r="J1727" s="3">
        <v>0.135391923990499</v>
      </c>
      <c r="K1727" s="21">
        <v>1619.24561403509</v>
      </c>
      <c r="L1727" s="21">
        <v>20510.4444444444</v>
      </c>
      <c r="M1727" s="21">
        <v>93.5555555555556</v>
      </c>
      <c r="N1727" s="2" t="s">
        <v>79</v>
      </c>
    </row>
    <row r="1728" s="2" customFormat="1" spans="1:14">
      <c r="A1728" s="20">
        <v>45854</v>
      </c>
      <c r="B1728" s="2" t="s">
        <v>98</v>
      </c>
      <c r="C1728" s="2" t="s">
        <v>99</v>
      </c>
      <c r="D1728" s="2">
        <v>1</v>
      </c>
      <c r="E1728" s="2">
        <v>1131</v>
      </c>
      <c r="F1728" s="2">
        <v>146</v>
      </c>
      <c r="G1728" s="2">
        <v>216484</v>
      </c>
      <c r="H1728" s="2">
        <v>4</v>
      </c>
      <c r="I1728" s="2" t="s">
        <v>78</v>
      </c>
      <c r="J1728" s="3">
        <v>0.129089301503095</v>
      </c>
      <c r="K1728" s="21">
        <v>1482.76712328767</v>
      </c>
      <c r="L1728" s="21">
        <v>54121</v>
      </c>
      <c r="M1728" s="21">
        <v>282.75</v>
      </c>
      <c r="N1728" s="2" t="s">
        <v>79</v>
      </c>
    </row>
    <row r="1729" s="2" customFormat="1" spans="1:14">
      <c r="A1729" s="20">
        <v>45855</v>
      </c>
      <c r="B1729" s="2" t="s">
        <v>98</v>
      </c>
      <c r="C1729" s="2" t="s">
        <v>99</v>
      </c>
      <c r="D1729" s="2">
        <v>1</v>
      </c>
      <c r="E1729" s="2">
        <v>792</v>
      </c>
      <c r="F1729" s="2">
        <v>109</v>
      </c>
      <c r="G1729" s="2">
        <v>131450</v>
      </c>
      <c r="H1729" s="2">
        <v>8</v>
      </c>
      <c r="I1729" s="2" t="s">
        <v>78</v>
      </c>
      <c r="J1729" s="3">
        <v>0.137626262626263</v>
      </c>
      <c r="K1729" s="21">
        <v>1205.96330275229</v>
      </c>
      <c r="L1729" s="21">
        <v>16431.25</v>
      </c>
      <c r="M1729" s="21">
        <v>99</v>
      </c>
      <c r="N1729" s="2" t="s">
        <v>79</v>
      </c>
    </row>
    <row r="1730" s="2" customFormat="1" spans="1:14">
      <c r="A1730" s="20">
        <v>45856</v>
      </c>
      <c r="B1730" s="2" t="s">
        <v>98</v>
      </c>
      <c r="C1730" s="2" t="s">
        <v>99</v>
      </c>
      <c r="D1730" s="2">
        <v>1</v>
      </c>
      <c r="E1730" s="2">
        <v>875</v>
      </c>
      <c r="F1730" s="2">
        <v>130</v>
      </c>
      <c r="G1730" s="2">
        <v>150773</v>
      </c>
      <c r="H1730" s="2">
        <v>8</v>
      </c>
      <c r="I1730" s="2" t="s">
        <v>78</v>
      </c>
      <c r="J1730" s="3">
        <v>0.148571428571429</v>
      </c>
      <c r="K1730" s="21">
        <v>1159.79230769231</v>
      </c>
      <c r="L1730" s="21">
        <v>18846.625</v>
      </c>
      <c r="M1730" s="21">
        <v>109.375</v>
      </c>
      <c r="N1730" s="2" t="s">
        <v>79</v>
      </c>
    </row>
    <row r="1731" s="2" customFormat="1" spans="1:14">
      <c r="A1731" s="20">
        <v>45857</v>
      </c>
      <c r="B1731" s="2" t="s">
        <v>98</v>
      </c>
      <c r="C1731" s="2" t="s">
        <v>99</v>
      </c>
      <c r="D1731" s="2">
        <v>1</v>
      </c>
      <c r="E1731" s="2">
        <v>1005</v>
      </c>
      <c r="F1731" s="2">
        <v>149</v>
      </c>
      <c r="G1731" s="2">
        <v>197997</v>
      </c>
      <c r="H1731" s="2">
        <v>8</v>
      </c>
      <c r="I1731" s="2" t="s">
        <v>78</v>
      </c>
      <c r="J1731" s="3">
        <v>0.148258706467662</v>
      </c>
      <c r="K1731" s="21">
        <v>1328.8389261745</v>
      </c>
      <c r="L1731" s="21">
        <v>24749.625</v>
      </c>
      <c r="M1731" s="21">
        <v>125.625</v>
      </c>
      <c r="N1731" s="2" t="s">
        <v>80</v>
      </c>
    </row>
    <row r="1732" s="2" customFormat="1" spans="1:14">
      <c r="A1732" s="20">
        <v>45858</v>
      </c>
      <c r="B1732" s="2" t="s">
        <v>98</v>
      </c>
      <c r="C1732" s="2" t="s">
        <v>99</v>
      </c>
      <c r="D1732" s="2">
        <v>1</v>
      </c>
      <c r="E1732" s="2">
        <v>1197</v>
      </c>
      <c r="F1732" s="2">
        <v>162</v>
      </c>
      <c r="G1732" s="2">
        <v>210770</v>
      </c>
      <c r="H1732" s="2">
        <v>6</v>
      </c>
      <c r="I1732" s="2" t="s">
        <v>78</v>
      </c>
      <c r="J1732" s="3">
        <v>0.135338345864662</v>
      </c>
      <c r="K1732" s="21">
        <v>1301.04938271605</v>
      </c>
      <c r="L1732" s="21">
        <v>35128.3333333333</v>
      </c>
      <c r="M1732" s="21">
        <v>199.5</v>
      </c>
      <c r="N1732" s="2" t="s">
        <v>80</v>
      </c>
    </row>
    <row r="1733" s="2" customFormat="1" spans="1:14">
      <c r="A1733" s="20">
        <v>45859</v>
      </c>
      <c r="B1733" s="2" t="s">
        <v>98</v>
      </c>
      <c r="C1733" s="2" t="s">
        <v>99</v>
      </c>
      <c r="D1733" s="2">
        <v>1</v>
      </c>
      <c r="E1733" s="2">
        <v>829</v>
      </c>
      <c r="F1733" s="2">
        <v>111</v>
      </c>
      <c r="G1733" s="2">
        <v>126321</v>
      </c>
      <c r="H1733" s="2">
        <v>7</v>
      </c>
      <c r="I1733" s="2" t="s">
        <v>78</v>
      </c>
      <c r="J1733" s="3">
        <v>0.133896260554885</v>
      </c>
      <c r="K1733" s="21">
        <v>1138.02702702703</v>
      </c>
      <c r="L1733" s="21">
        <v>18045.8571428571</v>
      </c>
      <c r="M1733" s="21">
        <v>118.428571428571</v>
      </c>
      <c r="N1733" s="2" t="s">
        <v>79</v>
      </c>
    </row>
    <row r="1734" s="2" customFormat="1" spans="1:14">
      <c r="A1734" s="20">
        <v>45860</v>
      </c>
      <c r="B1734" s="2" t="s">
        <v>98</v>
      </c>
      <c r="C1734" s="2" t="s">
        <v>99</v>
      </c>
      <c r="D1734" s="2">
        <v>1</v>
      </c>
      <c r="E1734" s="2">
        <v>727</v>
      </c>
      <c r="F1734" s="2">
        <v>92</v>
      </c>
      <c r="G1734" s="2">
        <v>131002</v>
      </c>
      <c r="H1734" s="2">
        <v>7</v>
      </c>
      <c r="I1734" s="2" t="s">
        <v>78</v>
      </c>
      <c r="J1734" s="3">
        <v>0.126547455295736</v>
      </c>
      <c r="K1734" s="21">
        <v>1423.9347826087</v>
      </c>
      <c r="L1734" s="21">
        <v>18714.5714285714</v>
      </c>
      <c r="M1734" s="21">
        <v>103.857142857143</v>
      </c>
      <c r="N1734" s="2" t="s">
        <v>79</v>
      </c>
    </row>
    <row r="1735" s="2" customFormat="1" spans="1:14">
      <c r="A1735" s="20">
        <v>45861</v>
      </c>
      <c r="B1735" s="2" t="s">
        <v>98</v>
      </c>
      <c r="C1735" s="2" t="s">
        <v>99</v>
      </c>
      <c r="D1735" s="2">
        <v>1</v>
      </c>
      <c r="E1735" s="2">
        <v>651</v>
      </c>
      <c r="F1735" s="2">
        <v>95</v>
      </c>
      <c r="G1735" s="2">
        <v>128137</v>
      </c>
      <c r="H1735" s="2">
        <v>9</v>
      </c>
      <c r="I1735" s="2" t="s">
        <v>78</v>
      </c>
      <c r="J1735" s="3">
        <v>0.145929339477727</v>
      </c>
      <c r="K1735" s="21">
        <v>1348.81052631579</v>
      </c>
      <c r="L1735" s="21">
        <v>14237.4444444445</v>
      </c>
      <c r="M1735" s="21">
        <v>72.3333333333333</v>
      </c>
      <c r="N1735" s="2" t="s">
        <v>79</v>
      </c>
    </row>
    <row r="1736" s="2" customFormat="1" spans="1:14">
      <c r="A1736" s="20">
        <v>45862</v>
      </c>
      <c r="B1736" s="2" t="s">
        <v>98</v>
      </c>
      <c r="C1736" s="2" t="s">
        <v>99</v>
      </c>
      <c r="D1736" s="2">
        <v>1</v>
      </c>
      <c r="E1736" s="2">
        <v>775</v>
      </c>
      <c r="F1736" s="2">
        <v>113</v>
      </c>
      <c r="G1736" s="2">
        <v>164003</v>
      </c>
      <c r="H1736" s="2">
        <v>7</v>
      </c>
      <c r="I1736" s="2" t="s">
        <v>78</v>
      </c>
      <c r="J1736" s="3">
        <v>0.145806451612903</v>
      </c>
      <c r="K1736" s="21">
        <v>1451.35398230089</v>
      </c>
      <c r="L1736" s="21">
        <v>23429</v>
      </c>
      <c r="M1736" s="21">
        <v>110.714285714286</v>
      </c>
      <c r="N1736" s="2" t="s">
        <v>79</v>
      </c>
    </row>
    <row r="1737" s="2" customFormat="1" spans="1:14">
      <c r="A1737" s="20">
        <v>45863</v>
      </c>
      <c r="B1737" s="2" t="s">
        <v>98</v>
      </c>
      <c r="C1737" s="2" t="s">
        <v>99</v>
      </c>
      <c r="D1737" s="2">
        <v>1</v>
      </c>
      <c r="E1737" s="2">
        <v>925</v>
      </c>
      <c r="F1737" s="2">
        <v>123</v>
      </c>
      <c r="G1737" s="2">
        <v>174415</v>
      </c>
      <c r="H1737" s="2">
        <v>9</v>
      </c>
      <c r="I1737" s="2" t="s">
        <v>78</v>
      </c>
      <c r="J1737" s="3">
        <v>0.132972972972973</v>
      </c>
      <c r="K1737" s="21">
        <v>1418.0081300813</v>
      </c>
      <c r="L1737" s="21">
        <v>19379.4444444444</v>
      </c>
      <c r="M1737" s="21">
        <v>102.777777777778</v>
      </c>
      <c r="N1737" s="2" t="s">
        <v>79</v>
      </c>
    </row>
    <row r="1738" s="2" customFormat="1" spans="1:14">
      <c r="A1738" s="20">
        <v>45864</v>
      </c>
      <c r="B1738" s="2" t="s">
        <v>98</v>
      </c>
      <c r="C1738" s="2" t="s">
        <v>99</v>
      </c>
      <c r="D1738" s="2">
        <v>1</v>
      </c>
      <c r="E1738" s="2">
        <v>1275</v>
      </c>
      <c r="F1738" s="2">
        <v>187</v>
      </c>
      <c r="G1738" s="2">
        <v>214446</v>
      </c>
      <c r="H1738" s="2">
        <v>6</v>
      </c>
      <c r="I1738" s="2" t="s">
        <v>81</v>
      </c>
      <c r="J1738" s="3">
        <v>0.146666666666667</v>
      </c>
      <c r="K1738" s="21">
        <v>1146.77005347594</v>
      </c>
      <c r="L1738" s="21">
        <v>35741</v>
      </c>
      <c r="M1738" s="21">
        <v>212.5</v>
      </c>
      <c r="N1738" s="2" t="s">
        <v>80</v>
      </c>
    </row>
    <row r="1739" s="2" customFormat="1" spans="1:14">
      <c r="A1739" s="20">
        <v>45865</v>
      </c>
      <c r="B1739" s="2" t="s">
        <v>98</v>
      </c>
      <c r="C1739" s="2" t="s">
        <v>99</v>
      </c>
      <c r="D1739" s="2">
        <v>1</v>
      </c>
      <c r="E1739" s="2">
        <v>1262</v>
      </c>
      <c r="F1739" s="2">
        <v>166</v>
      </c>
      <c r="G1739" s="2">
        <v>252077</v>
      </c>
      <c r="H1739" s="2">
        <v>5</v>
      </c>
      <c r="I1739" s="2" t="s">
        <v>78</v>
      </c>
      <c r="J1739" s="3">
        <v>0.131537242472266</v>
      </c>
      <c r="K1739" s="21">
        <v>1518.53614457831</v>
      </c>
      <c r="L1739" s="21">
        <v>50415.4</v>
      </c>
      <c r="M1739" s="21">
        <v>252.4</v>
      </c>
      <c r="N1739" s="2" t="s">
        <v>80</v>
      </c>
    </row>
    <row r="1740" s="2" customFormat="1" spans="1:14">
      <c r="A1740" s="20">
        <v>45866</v>
      </c>
      <c r="B1740" s="2" t="s">
        <v>98</v>
      </c>
      <c r="C1740" s="2" t="s">
        <v>99</v>
      </c>
      <c r="D1740" s="2">
        <v>1</v>
      </c>
      <c r="E1740" s="2">
        <v>759</v>
      </c>
      <c r="F1740" s="2">
        <v>103</v>
      </c>
      <c r="G1740" s="2">
        <v>140872</v>
      </c>
      <c r="H1740" s="2">
        <v>6</v>
      </c>
      <c r="I1740" s="2" t="s">
        <v>78</v>
      </c>
      <c r="J1740" s="3">
        <v>0.13570487483531</v>
      </c>
      <c r="K1740" s="21">
        <v>1367.68932038835</v>
      </c>
      <c r="L1740" s="21">
        <v>23478.6666666667</v>
      </c>
      <c r="M1740" s="21">
        <v>126.5</v>
      </c>
      <c r="N1740" s="2" t="s">
        <v>79</v>
      </c>
    </row>
    <row r="1741" s="2" customFormat="1" spans="1:14">
      <c r="A1741" s="20">
        <v>45867</v>
      </c>
      <c r="B1741" s="2" t="s">
        <v>98</v>
      </c>
      <c r="C1741" s="2" t="s">
        <v>99</v>
      </c>
      <c r="D1741" s="2">
        <v>1</v>
      </c>
      <c r="E1741" s="2">
        <v>887</v>
      </c>
      <c r="F1741" s="2">
        <v>111</v>
      </c>
      <c r="G1741" s="2">
        <v>186677</v>
      </c>
      <c r="H1741" s="2">
        <v>6</v>
      </c>
      <c r="I1741" s="2" t="s">
        <v>78</v>
      </c>
      <c r="J1741" s="3">
        <v>0.125140924464487</v>
      </c>
      <c r="K1741" s="21">
        <v>1681.77477477478</v>
      </c>
      <c r="L1741" s="21">
        <v>31112.8333333333</v>
      </c>
      <c r="M1741" s="21">
        <v>147.833333333333</v>
      </c>
      <c r="N1741" s="2" t="s">
        <v>79</v>
      </c>
    </row>
    <row r="1742" s="2" customFormat="1" spans="1:14">
      <c r="A1742" s="20">
        <v>45868</v>
      </c>
      <c r="B1742" s="2" t="s">
        <v>98</v>
      </c>
      <c r="C1742" s="2" t="s">
        <v>99</v>
      </c>
      <c r="D1742" s="2">
        <v>1</v>
      </c>
      <c r="E1742" s="2">
        <v>1015</v>
      </c>
      <c r="F1742" s="2">
        <v>143</v>
      </c>
      <c r="G1742" s="2">
        <v>194911</v>
      </c>
      <c r="H1742" s="2">
        <v>8</v>
      </c>
      <c r="I1742" s="2" t="s">
        <v>78</v>
      </c>
      <c r="J1742" s="3">
        <v>0.140886699507389</v>
      </c>
      <c r="K1742" s="21">
        <v>1363.01398601399</v>
      </c>
      <c r="L1742" s="21">
        <v>24363.875</v>
      </c>
      <c r="M1742" s="21">
        <v>126.875</v>
      </c>
      <c r="N1742" s="2" t="s">
        <v>79</v>
      </c>
    </row>
    <row r="1743" s="2" customFormat="1" spans="1:14">
      <c r="A1743" s="20">
        <v>45869</v>
      </c>
      <c r="B1743" s="2" t="s">
        <v>98</v>
      </c>
      <c r="C1743" s="2" t="s">
        <v>99</v>
      </c>
      <c r="D1743" s="2">
        <v>1</v>
      </c>
      <c r="E1743" s="2">
        <v>789</v>
      </c>
      <c r="F1743" s="2">
        <v>115</v>
      </c>
      <c r="G1743" s="2">
        <v>129432</v>
      </c>
      <c r="H1743" s="2">
        <v>6</v>
      </c>
      <c r="I1743" s="2" t="s">
        <v>78</v>
      </c>
      <c r="J1743" s="3">
        <v>0.14575411913815</v>
      </c>
      <c r="K1743" s="21">
        <v>1125.49565217391</v>
      </c>
      <c r="L1743" s="21">
        <v>21572</v>
      </c>
      <c r="M1743" s="21">
        <v>131.5</v>
      </c>
      <c r="N1743" s="2" t="s">
        <v>79</v>
      </c>
    </row>
    <row r="1744" s="2" customFormat="1" spans="1:14">
      <c r="A1744" s="20">
        <v>45870</v>
      </c>
      <c r="B1744" s="2" t="s">
        <v>98</v>
      </c>
      <c r="C1744" s="2" t="s">
        <v>99</v>
      </c>
      <c r="D1744" s="2">
        <v>1</v>
      </c>
      <c r="E1744" s="2">
        <v>962</v>
      </c>
      <c r="F1744" s="2">
        <v>114</v>
      </c>
      <c r="G1744" s="2">
        <v>150157</v>
      </c>
      <c r="H1744" s="2">
        <v>5</v>
      </c>
      <c r="I1744" s="2" t="s">
        <v>78</v>
      </c>
      <c r="J1744" s="3">
        <v>0.118503118503118</v>
      </c>
      <c r="K1744" s="21">
        <v>1317.16666666667</v>
      </c>
      <c r="L1744" s="21">
        <v>30031.4</v>
      </c>
      <c r="M1744" s="21">
        <v>192.4</v>
      </c>
      <c r="N1744" s="2" t="s">
        <v>79</v>
      </c>
    </row>
    <row r="1745" s="2" customFormat="1" spans="1:14">
      <c r="A1745" s="20">
        <v>45871</v>
      </c>
      <c r="B1745" s="2" t="s">
        <v>98</v>
      </c>
      <c r="C1745" s="2" t="s">
        <v>99</v>
      </c>
      <c r="D1745" s="2">
        <v>1</v>
      </c>
      <c r="E1745" s="2">
        <v>1583</v>
      </c>
      <c r="F1745" s="2">
        <v>241</v>
      </c>
      <c r="G1745" s="2">
        <v>281190</v>
      </c>
      <c r="H1745" s="2">
        <v>9</v>
      </c>
      <c r="I1745" s="2" t="s">
        <v>78</v>
      </c>
      <c r="J1745" s="3">
        <v>0.152242577384713</v>
      </c>
      <c r="K1745" s="21">
        <v>1166.76348547718</v>
      </c>
      <c r="L1745" s="21">
        <v>31243.3333333333</v>
      </c>
      <c r="M1745" s="21">
        <v>175.888888888889</v>
      </c>
      <c r="N1745" s="2" t="s">
        <v>80</v>
      </c>
    </row>
    <row r="1746" s="2" customFormat="1" spans="1:14">
      <c r="A1746" s="20">
        <v>45872</v>
      </c>
      <c r="B1746" s="2" t="s">
        <v>98</v>
      </c>
      <c r="C1746" s="2" t="s">
        <v>99</v>
      </c>
      <c r="D1746" s="2">
        <v>1</v>
      </c>
      <c r="E1746" s="2">
        <v>1425</v>
      </c>
      <c r="F1746" s="2">
        <v>199</v>
      </c>
      <c r="G1746" s="2">
        <v>220345</v>
      </c>
      <c r="H1746" s="2">
        <v>6</v>
      </c>
      <c r="I1746" s="2" t="s">
        <v>78</v>
      </c>
      <c r="J1746" s="3">
        <v>0.139649122807018</v>
      </c>
      <c r="K1746" s="21">
        <v>1107.26130653266</v>
      </c>
      <c r="L1746" s="21">
        <v>36724.1666666667</v>
      </c>
      <c r="M1746" s="21">
        <v>237.5</v>
      </c>
      <c r="N1746" s="2" t="s">
        <v>80</v>
      </c>
    </row>
    <row r="1747" s="2" customFormat="1" spans="1:14">
      <c r="A1747" s="20">
        <v>45873</v>
      </c>
      <c r="B1747" s="2" t="s">
        <v>98</v>
      </c>
      <c r="C1747" s="2" t="s">
        <v>99</v>
      </c>
      <c r="D1747" s="2">
        <v>1</v>
      </c>
      <c r="E1747" s="2">
        <v>891</v>
      </c>
      <c r="F1747" s="2">
        <v>118</v>
      </c>
      <c r="G1747" s="2">
        <v>170164</v>
      </c>
      <c r="H1747" s="2">
        <v>8</v>
      </c>
      <c r="I1747" s="2" t="s">
        <v>78</v>
      </c>
      <c r="J1747" s="3">
        <v>0.132435465768799</v>
      </c>
      <c r="K1747" s="21">
        <v>1442.06779661017</v>
      </c>
      <c r="L1747" s="21">
        <v>21270.5</v>
      </c>
      <c r="M1747" s="21">
        <v>111.375</v>
      </c>
      <c r="N1747" s="2" t="s">
        <v>79</v>
      </c>
    </row>
    <row r="1748" s="2" customFormat="1" spans="1:14">
      <c r="A1748" s="20">
        <v>45874</v>
      </c>
      <c r="B1748" s="2" t="s">
        <v>98</v>
      </c>
      <c r="C1748" s="2" t="s">
        <v>99</v>
      </c>
      <c r="D1748" s="2">
        <v>1</v>
      </c>
      <c r="E1748" s="2">
        <v>811</v>
      </c>
      <c r="F1748" s="2">
        <v>118</v>
      </c>
      <c r="G1748" s="2">
        <v>194608</v>
      </c>
      <c r="H1748" s="2">
        <v>8</v>
      </c>
      <c r="I1748" s="2" t="s">
        <v>78</v>
      </c>
      <c r="J1748" s="3">
        <v>0.145499383477189</v>
      </c>
      <c r="K1748" s="21">
        <v>1649.22033898305</v>
      </c>
      <c r="L1748" s="21">
        <v>24326</v>
      </c>
      <c r="M1748" s="21">
        <v>101.375</v>
      </c>
      <c r="N1748" s="2" t="s">
        <v>79</v>
      </c>
    </row>
    <row r="1749" s="2" customFormat="1" spans="1:14">
      <c r="A1749" s="20">
        <v>45875</v>
      </c>
      <c r="B1749" s="2" t="s">
        <v>98</v>
      </c>
      <c r="C1749" s="2" t="s">
        <v>99</v>
      </c>
      <c r="D1749" s="2">
        <v>1</v>
      </c>
      <c r="E1749" s="2">
        <v>852</v>
      </c>
      <c r="F1749" s="2">
        <v>114</v>
      </c>
      <c r="G1749" s="2">
        <v>171455</v>
      </c>
      <c r="H1749" s="2">
        <v>5</v>
      </c>
      <c r="I1749" s="2" t="s">
        <v>78</v>
      </c>
      <c r="J1749" s="3">
        <v>0.133802816901408</v>
      </c>
      <c r="K1749" s="21">
        <v>1503.99122807018</v>
      </c>
      <c r="L1749" s="21">
        <v>34291</v>
      </c>
      <c r="M1749" s="21">
        <v>170.4</v>
      </c>
      <c r="N1749" s="2" t="s">
        <v>79</v>
      </c>
    </row>
    <row r="1750" s="2" customFormat="1" spans="1:14">
      <c r="A1750" s="20">
        <v>45876</v>
      </c>
      <c r="B1750" s="2" t="s">
        <v>98</v>
      </c>
      <c r="C1750" s="2" t="s">
        <v>99</v>
      </c>
      <c r="D1750" s="2">
        <v>1</v>
      </c>
      <c r="E1750" s="2">
        <v>1006</v>
      </c>
      <c r="F1750" s="2">
        <v>130</v>
      </c>
      <c r="G1750" s="2">
        <v>176817</v>
      </c>
      <c r="H1750" s="2">
        <v>6</v>
      </c>
      <c r="I1750" s="2" t="s">
        <v>81</v>
      </c>
      <c r="J1750" s="3">
        <v>0.129224652087475</v>
      </c>
      <c r="K1750" s="21">
        <v>1360.13076923077</v>
      </c>
      <c r="L1750" s="21">
        <v>29469.5</v>
      </c>
      <c r="M1750" s="21">
        <v>167.666666666667</v>
      </c>
      <c r="N1750" s="2" t="s">
        <v>79</v>
      </c>
    </row>
    <row r="1751" s="2" customFormat="1" spans="1:14">
      <c r="A1751" s="20">
        <v>45877</v>
      </c>
      <c r="B1751" s="2" t="s">
        <v>98</v>
      </c>
      <c r="C1751" s="2" t="s">
        <v>99</v>
      </c>
      <c r="D1751" s="2">
        <v>1</v>
      </c>
      <c r="E1751" s="2">
        <v>823</v>
      </c>
      <c r="F1751" s="2">
        <v>102</v>
      </c>
      <c r="G1751" s="2">
        <v>164672</v>
      </c>
      <c r="H1751" s="2">
        <v>7</v>
      </c>
      <c r="I1751" s="2" t="s">
        <v>78</v>
      </c>
      <c r="J1751" s="3">
        <v>0.123936816524909</v>
      </c>
      <c r="K1751" s="21">
        <v>1614.43137254902</v>
      </c>
      <c r="L1751" s="21">
        <v>23524.5714285714</v>
      </c>
      <c r="M1751" s="21">
        <v>117.571428571429</v>
      </c>
      <c r="N1751" s="2" t="s">
        <v>79</v>
      </c>
    </row>
    <row r="1752" s="2" customFormat="1" spans="1:14">
      <c r="A1752" s="20">
        <v>45878</v>
      </c>
      <c r="B1752" s="2" t="s">
        <v>98</v>
      </c>
      <c r="C1752" s="2" t="s">
        <v>99</v>
      </c>
      <c r="D1752" s="2">
        <v>1</v>
      </c>
      <c r="E1752" s="2">
        <v>1347</v>
      </c>
      <c r="F1752" s="2">
        <v>158</v>
      </c>
      <c r="G1752" s="2">
        <v>239316</v>
      </c>
      <c r="H1752" s="2">
        <v>4</v>
      </c>
      <c r="I1752" s="2" t="s">
        <v>78</v>
      </c>
      <c r="J1752" s="3">
        <v>0.117297698589458</v>
      </c>
      <c r="K1752" s="21">
        <v>1514.6582278481</v>
      </c>
      <c r="L1752" s="21">
        <v>59829</v>
      </c>
      <c r="M1752" s="21">
        <v>336.75</v>
      </c>
      <c r="N1752" s="2" t="s">
        <v>80</v>
      </c>
    </row>
    <row r="1753" s="2" customFormat="1" spans="1:14">
      <c r="A1753" s="20">
        <v>45879</v>
      </c>
      <c r="B1753" s="2" t="s">
        <v>98</v>
      </c>
      <c r="C1753" s="2" t="s">
        <v>99</v>
      </c>
      <c r="D1753" s="2">
        <v>1</v>
      </c>
      <c r="E1753" s="2">
        <v>1439</v>
      </c>
      <c r="F1753" s="2">
        <v>213</v>
      </c>
      <c r="G1753" s="2">
        <v>292330</v>
      </c>
      <c r="H1753" s="2">
        <v>9</v>
      </c>
      <c r="I1753" s="2" t="s">
        <v>78</v>
      </c>
      <c r="J1753" s="3">
        <v>0.148019457956915</v>
      </c>
      <c r="K1753" s="21">
        <v>1372.44131455399</v>
      </c>
      <c r="L1753" s="21">
        <v>32481.1111111111</v>
      </c>
      <c r="M1753" s="21">
        <v>159.888888888889</v>
      </c>
      <c r="N1753" s="2" t="s">
        <v>80</v>
      </c>
    </row>
    <row r="1754" s="2" customFormat="1" spans="1:14">
      <c r="A1754" s="20">
        <v>45880</v>
      </c>
      <c r="B1754" s="2" t="s">
        <v>98</v>
      </c>
      <c r="C1754" s="2" t="s">
        <v>99</v>
      </c>
      <c r="D1754" s="2">
        <v>1</v>
      </c>
      <c r="E1754" s="2">
        <v>726</v>
      </c>
      <c r="F1754" s="2">
        <v>98</v>
      </c>
      <c r="G1754" s="2">
        <v>132156</v>
      </c>
      <c r="H1754" s="2">
        <v>7</v>
      </c>
      <c r="I1754" s="2" t="s">
        <v>78</v>
      </c>
      <c r="J1754" s="3">
        <v>0.134986225895317</v>
      </c>
      <c r="K1754" s="21">
        <v>1348.5306122449</v>
      </c>
      <c r="L1754" s="21">
        <v>18879.4285714286</v>
      </c>
      <c r="M1754" s="21">
        <v>103.714285714286</v>
      </c>
      <c r="N1754" s="2" t="s">
        <v>79</v>
      </c>
    </row>
    <row r="1755" s="2" customFormat="1" spans="1:14">
      <c r="A1755" s="20">
        <v>45881</v>
      </c>
      <c r="B1755" s="2" t="s">
        <v>98</v>
      </c>
      <c r="C1755" s="2" t="s">
        <v>99</v>
      </c>
      <c r="D1755" s="2">
        <v>1</v>
      </c>
      <c r="E1755" s="2">
        <v>769</v>
      </c>
      <c r="F1755" s="2">
        <v>103</v>
      </c>
      <c r="G1755" s="2">
        <v>146824</v>
      </c>
      <c r="H1755" s="2">
        <v>5</v>
      </c>
      <c r="I1755" s="2" t="s">
        <v>78</v>
      </c>
      <c r="J1755" s="3">
        <v>0.133940182054616</v>
      </c>
      <c r="K1755" s="21">
        <v>1425.47572815534</v>
      </c>
      <c r="L1755" s="21">
        <v>29364.8</v>
      </c>
      <c r="M1755" s="21">
        <v>153.8</v>
      </c>
      <c r="N1755" s="2" t="s">
        <v>79</v>
      </c>
    </row>
    <row r="1756" s="2" customFormat="1" spans="1:14">
      <c r="A1756" s="20">
        <v>45882</v>
      </c>
      <c r="B1756" s="2" t="s">
        <v>98</v>
      </c>
      <c r="C1756" s="2" t="s">
        <v>99</v>
      </c>
      <c r="D1756" s="2">
        <v>1</v>
      </c>
      <c r="E1756" s="2">
        <v>849</v>
      </c>
      <c r="F1756" s="2">
        <v>124</v>
      </c>
      <c r="G1756" s="2">
        <v>137196</v>
      </c>
      <c r="H1756" s="2">
        <v>6</v>
      </c>
      <c r="I1756" s="2" t="s">
        <v>78</v>
      </c>
      <c r="J1756" s="3">
        <v>0.14605418138987</v>
      </c>
      <c r="K1756" s="21">
        <v>1106.41935483871</v>
      </c>
      <c r="L1756" s="21">
        <v>22866</v>
      </c>
      <c r="M1756" s="21">
        <v>141.5</v>
      </c>
      <c r="N1756" s="2" t="s">
        <v>79</v>
      </c>
    </row>
    <row r="1757" s="2" customFormat="1" spans="1:14">
      <c r="A1757" s="20">
        <v>45883</v>
      </c>
      <c r="B1757" s="2" t="s">
        <v>98</v>
      </c>
      <c r="C1757" s="2" t="s">
        <v>99</v>
      </c>
      <c r="D1757" s="2">
        <v>1</v>
      </c>
      <c r="E1757" s="2">
        <v>731</v>
      </c>
      <c r="F1757" s="2">
        <v>94</v>
      </c>
      <c r="G1757" s="2">
        <v>137941</v>
      </c>
      <c r="H1757" s="2">
        <v>4</v>
      </c>
      <c r="I1757" s="2" t="s">
        <v>78</v>
      </c>
      <c r="J1757" s="3">
        <v>0.12859097127223</v>
      </c>
      <c r="K1757" s="21">
        <v>1467.45744680851</v>
      </c>
      <c r="L1757" s="21">
        <v>34485.25</v>
      </c>
      <c r="M1757" s="21">
        <v>182.75</v>
      </c>
      <c r="N1757" s="2" t="s">
        <v>79</v>
      </c>
    </row>
    <row r="1758" s="2" customFormat="1" spans="1:14">
      <c r="A1758" s="20">
        <v>45884</v>
      </c>
      <c r="B1758" s="2" t="s">
        <v>98</v>
      </c>
      <c r="C1758" s="2" t="s">
        <v>99</v>
      </c>
      <c r="D1758" s="2">
        <v>1</v>
      </c>
      <c r="E1758" s="2">
        <v>798</v>
      </c>
      <c r="F1758" s="2">
        <v>104</v>
      </c>
      <c r="G1758" s="2">
        <v>159637</v>
      </c>
      <c r="H1758" s="2">
        <v>4</v>
      </c>
      <c r="I1758" s="2" t="s">
        <v>78</v>
      </c>
      <c r="J1758" s="3">
        <v>0.130325814536341</v>
      </c>
      <c r="K1758" s="21">
        <v>1534.97115384615</v>
      </c>
      <c r="L1758" s="21">
        <v>39909.25</v>
      </c>
      <c r="M1758" s="21">
        <v>199.5</v>
      </c>
      <c r="N1758" s="2" t="s">
        <v>79</v>
      </c>
    </row>
    <row r="1759" s="2" customFormat="1" spans="1:14">
      <c r="A1759" s="20">
        <v>45885</v>
      </c>
      <c r="B1759" s="2" t="s">
        <v>98</v>
      </c>
      <c r="C1759" s="2" t="s">
        <v>99</v>
      </c>
      <c r="D1759" s="2">
        <v>1</v>
      </c>
      <c r="E1759" s="2">
        <v>1152</v>
      </c>
      <c r="F1759" s="2">
        <v>158</v>
      </c>
      <c r="G1759" s="2">
        <v>255135</v>
      </c>
      <c r="H1759" s="2">
        <v>8</v>
      </c>
      <c r="I1759" s="2" t="s">
        <v>78</v>
      </c>
      <c r="J1759" s="3">
        <v>0.137152777777778</v>
      </c>
      <c r="K1759" s="21">
        <v>1614.77848101266</v>
      </c>
      <c r="L1759" s="21">
        <v>31891.875</v>
      </c>
      <c r="M1759" s="21">
        <v>144</v>
      </c>
      <c r="N1759" s="2" t="s">
        <v>80</v>
      </c>
    </row>
    <row r="1760" s="2" customFormat="1" spans="1:14">
      <c r="A1760" s="20">
        <v>45886</v>
      </c>
      <c r="B1760" s="2" t="s">
        <v>98</v>
      </c>
      <c r="C1760" s="2" t="s">
        <v>99</v>
      </c>
      <c r="D1760" s="2">
        <v>1</v>
      </c>
      <c r="E1760" s="2">
        <v>1333</v>
      </c>
      <c r="F1760" s="2">
        <v>179</v>
      </c>
      <c r="G1760" s="2">
        <v>295723</v>
      </c>
      <c r="H1760" s="2">
        <v>7</v>
      </c>
      <c r="I1760" s="2" t="s">
        <v>78</v>
      </c>
      <c r="J1760" s="3">
        <v>0.134283570892723</v>
      </c>
      <c r="K1760" s="21">
        <v>1652.08379888268</v>
      </c>
      <c r="L1760" s="21">
        <v>42246.1428571429</v>
      </c>
      <c r="M1760" s="21">
        <v>190.428571428571</v>
      </c>
      <c r="N1760" s="2" t="s">
        <v>80</v>
      </c>
    </row>
    <row r="1761" s="2" customFormat="1" spans="1:14">
      <c r="A1761" s="20">
        <v>45887</v>
      </c>
      <c r="B1761" s="2" t="s">
        <v>98</v>
      </c>
      <c r="C1761" s="2" t="s">
        <v>99</v>
      </c>
      <c r="D1761" s="2">
        <v>1</v>
      </c>
      <c r="E1761" s="2">
        <v>732</v>
      </c>
      <c r="F1761" s="2">
        <v>92</v>
      </c>
      <c r="G1761" s="2">
        <v>147779</v>
      </c>
      <c r="H1761" s="2">
        <v>5</v>
      </c>
      <c r="I1761" s="2" t="s">
        <v>78</v>
      </c>
      <c r="J1761" s="3">
        <v>0.12568306010929</v>
      </c>
      <c r="K1761" s="21">
        <v>1606.29347826087</v>
      </c>
      <c r="L1761" s="21">
        <v>29555.8</v>
      </c>
      <c r="M1761" s="21">
        <v>146.4</v>
      </c>
      <c r="N1761" s="2" t="s">
        <v>79</v>
      </c>
    </row>
    <row r="1762" s="2" customFormat="1" spans="1:14">
      <c r="A1762" s="20">
        <v>45888</v>
      </c>
      <c r="B1762" s="2" t="s">
        <v>98</v>
      </c>
      <c r="C1762" s="2" t="s">
        <v>99</v>
      </c>
      <c r="D1762" s="2">
        <v>1</v>
      </c>
      <c r="E1762" s="2">
        <v>1226</v>
      </c>
      <c r="F1762" s="2">
        <v>151</v>
      </c>
      <c r="G1762" s="2">
        <v>250154</v>
      </c>
      <c r="H1762" s="2">
        <v>6</v>
      </c>
      <c r="I1762" s="2" t="s">
        <v>78</v>
      </c>
      <c r="J1762" s="3">
        <v>0.123164763458401</v>
      </c>
      <c r="K1762" s="21">
        <v>1656.64900662252</v>
      </c>
      <c r="L1762" s="21">
        <v>41692.3333333333</v>
      </c>
      <c r="M1762" s="21">
        <v>204.333333333333</v>
      </c>
      <c r="N1762" s="2" t="s">
        <v>79</v>
      </c>
    </row>
    <row r="1763" s="2" customFormat="1" spans="1:14">
      <c r="A1763" s="20">
        <v>45889</v>
      </c>
      <c r="B1763" s="2" t="s">
        <v>98</v>
      </c>
      <c r="C1763" s="2" t="s">
        <v>99</v>
      </c>
      <c r="D1763" s="2">
        <v>1</v>
      </c>
      <c r="E1763" s="2">
        <v>703</v>
      </c>
      <c r="F1763" s="2">
        <v>92</v>
      </c>
      <c r="G1763" s="2">
        <v>121678</v>
      </c>
      <c r="H1763" s="2">
        <v>5</v>
      </c>
      <c r="I1763" s="2" t="s">
        <v>78</v>
      </c>
      <c r="J1763" s="3">
        <v>0.130867709815078</v>
      </c>
      <c r="K1763" s="21">
        <v>1322.58695652174</v>
      </c>
      <c r="L1763" s="21">
        <v>24335.6</v>
      </c>
      <c r="M1763" s="21">
        <v>140.6</v>
      </c>
      <c r="N1763" s="2" t="s">
        <v>79</v>
      </c>
    </row>
    <row r="1764" s="2" customFormat="1" spans="1:14">
      <c r="A1764" s="20">
        <v>45890</v>
      </c>
      <c r="B1764" s="2" t="s">
        <v>98</v>
      </c>
      <c r="C1764" s="2" t="s">
        <v>99</v>
      </c>
      <c r="D1764" s="2">
        <v>1</v>
      </c>
      <c r="E1764" s="2">
        <v>827</v>
      </c>
      <c r="F1764" s="2">
        <v>113</v>
      </c>
      <c r="G1764" s="2">
        <v>161950</v>
      </c>
      <c r="H1764" s="2">
        <v>5</v>
      </c>
      <c r="I1764" s="2" t="s">
        <v>78</v>
      </c>
      <c r="J1764" s="3">
        <v>0.136638452237001</v>
      </c>
      <c r="K1764" s="21">
        <v>1433.18584070797</v>
      </c>
      <c r="L1764" s="21">
        <v>32390</v>
      </c>
      <c r="M1764" s="21">
        <v>165.4</v>
      </c>
      <c r="N1764" s="2" t="s">
        <v>79</v>
      </c>
    </row>
    <row r="1765" s="2" customFormat="1" spans="1:14">
      <c r="A1765" s="20">
        <v>45891</v>
      </c>
      <c r="B1765" s="2" t="s">
        <v>98</v>
      </c>
      <c r="C1765" s="2" t="s">
        <v>99</v>
      </c>
      <c r="D1765" s="2">
        <v>1</v>
      </c>
      <c r="E1765" s="2">
        <v>890</v>
      </c>
      <c r="F1765" s="2">
        <v>117</v>
      </c>
      <c r="G1765" s="2">
        <v>144452</v>
      </c>
      <c r="H1765" s="2">
        <v>5</v>
      </c>
      <c r="I1765" s="2" t="s">
        <v>81</v>
      </c>
      <c r="J1765" s="3">
        <v>0.131460674157303</v>
      </c>
      <c r="K1765" s="21">
        <v>1234.63247863248</v>
      </c>
      <c r="L1765" s="21">
        <v>28890.4</v>
      </c>
      <c r="M1765" s="21">
        <v>178</v>
      </c>
      <c r="N1765" s="2" t="s">
        <v>79</v>
      </c>
    </row>
    <row r="1766" s="2" customFormat="1" spans="1:14">
      <c r="A1766" s="20">
        <v>45892</v>
      </c>
      <c r="B1766" s="2" t="s">
        <v>98</v>
      </c>
      <c r="C1766" s="2" t="s">
        <v>99</v>
      </c>
      <c r="D1766" s="2">
        <v>1</v>
      </c>
      <c r="E1766" s="2">
        <v>1271</v>
      </c>
      <c r="F1766" s="2">
        <v>171</v>
      </c>
      <c r="G1766" s="2">
        <v>222879</v>
      </c>
      <c r="H1766" s="2">
        <v>4</v>
      </c>
      <c r="I1766" s="2" t="s">
        <v>78</v>
      </c>
      <c r="J1766" s="3">
        <v>0.134539732494099</v>
      </c>
      <c r="K1766" s="21">
        <v>1303.38596491228</v>
      </c>
      <c r="L1766" s="21">
        <v>55719.75</v>
      </c>
      <c r="M1766" s="21">
        <v>317.75</v>
      </c>
      <c r="N1766" s="2" t="s">
        <v>80</v>
      </c>
    </row>
    <row r="1767" s="2" customFormat="1" spans="1:14">
      <c r="A1767" s="20">
        <v>45893</v>
      </c>
      <c r="B1767" s="2" t="s">
        <v>98</v>
      </c>
      <c r="C1767" s="2" t="s">
        <v>99</v>
      </c>
      <c r="D1767" s="2">
        <v>1</v>
      </c>
      <c r="E1767" s="2">
        <v>1258</v>
      </c>
      <c r="F1767" s="2">
        <v>178</v>
      </c>
      <c r="G1767" s="2">
        <v>202031</v>
      </c>
      <c r="H1767" s="2">
        <v>7</v>
      </c>
      <c r="I1767" s="2" t="s">
        <v>81</v>
      </c>
      <c r="J1767" s="3">
        <v>0.141494435612083</v>
      </c>
      <c r="K1767" s="21">
        <v>1135.00561797753</v>
      </c>
      <c r="L1767" s="21">
        <v>28861.5714285714</v>
      </c>
      <c r="M1767" s="21">
        <v>179.714285714286</v>
      </c>
      <c r="N1767" s="2" t="s">
        <v>80</v>
      </c>
    </row>
    <row r="1768" s="2" customFormat="1" spans="1:14">
      <c r="A1768" s="20">
        <v>45894</v>
      </c>
      <c r="B1768" s="2" t="s">
        <v>98</v>
      </c>
      <c r="C1768" s="2" t="s">
        <v>99</v>
      </c>
      <c r="D1768" s="2">
        <v>1</v>
      </c>
      <c r="E1768" s="2">
        <v>795</v>
      </c>
      <c r="F1768" s="2">
        <v>103</v>
      </c>
      <c r="G1768" s="2">
        <v>142997</v>
      </c>
      <c r="H1768" s="2">
        <v>8</v>
      </c>
      <c r="I1768" s="2" t="s">
        <v>78</v>
      </c>
      <c r="J1768" s="3">
        <v>0.129559748427673</v>
      </c>
      <c r="K1768" s="21">
        <v>1388.32038834952</v>
      </c>
      <c r="L1768" s="21">
        <v>17874.625</v>
      </c>
      <c r="M1768" s="21">
        <v>99.375</v>
      </c>
      <c r="N1768" s="2" t="s">
        <v>79</v>
      </c>
    </row>
    <row r="1769" s="2" customFormat="1" spans="1:14">
      <c r="A1769" s="20">
        <v>45895</v>
      </c>
      <c r="B1769" s="2" t="s">
        <v>98</v>
      </c>
      <c r="C1769" s="2" t="s">
        <v>99</v>
      </c>
      <c r="D1769" s="2">
        <v>1</v>
      </c>
      <c r="E1769" s="2">
        <v>782</v>
      </c>
      <c r="F1769" s="2">
        <v>103</v>
      </c>
      <c r="G1769" s="2">
        <v>116643</v>
      </c>
      <c r="H1769" s="2">
        <v>7</v>
      </c>
      <c r="I1769" s="2" t="s">
        <v>78</v>
      </c>
      <c r="J1769" s="3">
        <v>0.131713554987212</v>
      </c>
      <c r="K1769" s="21">
        <v>1132.45631067961</v>
      </c>
      <c r="L1769" s="21">
        <v>16663.2857142857</v>
      </c>
      <c r="M1769" s="21">
        <v>111.714285714286</v>
      </c>
      <c r="N1769" s="2" t="s">
        <v>79</v>
      </c>
    </row>
    <row r="1770" s="2" customFormat="1" spans="1:14">
      <c r="A1770" s="20">
        <v>45896</v>
      </c>
      <c r="B1770" s="2" t="s">
        <v>98</v>
      </c>
      <c r="C1770" s="2" t="s">
        <v>99</v>
      </c>
      <c r="D1770" s="2">
        <v>1</v>
      </c>
      <c r="E1770" s="2">
        <v>807</v>
      </c>
      <c r="F1770" s="2">
        <v>100</v>
      </c>
      <c r="G1770" s="2">
        <v>144233</v>
      </c>
      <c r="H1770" s="2">
        <v>6</v>
      </c>
      <c r="I1770" s="2" t="s">
        <v>78</v>
      </c>
      <c r="J1770" s="3">
        <v>0.123915737298637</v>
      </c>
      <c r="K1770" s="21">
        <v>1442.33</v>
      </c>
      <c r="L1770" s="21">
        <v>24038.8333333333</v>
      </c>
      <c r="M1770" s="21">
        <v>134.5</v>
      </c>
      <c r="N1770" s="2" t="s">
        <v>79</v>
      </c>
    </row>
    <row r="1771" s="2" customFormat="1" spans="1:14">
      <c r="A1771" s="20">
        <v>45897</v>
      </c>
      <c r="B1771" s="2" t="s">
        <v>98</v>
      </c>
      <c r="C1771" s="2" t="s">
        <v>99</v>
      </c>
      <c r="D1771" s="2">
        <v>1</v>
      </c>
      <c r="E1771" s="2">
        <v>898</v>
      </c>
      <c r="F1771" s="2">
        <v>117</v>
      </c>
      <c r="G1771" s="2">
        <v>181629</v>
      </c>
      <c r="H1771" s="2">
        <v>6</v>
      </c>
      <c r="I1771" s="2" t="s">
        <v>78</v>
      </c>
      <c r="J1771" s="3">
        <v>0.130289532293987</v>
      </c>
      <c r="K1771" s="21">
        <v>1552.38461538462</v>
      </c>
      <c r="L1771" s="21">
        <v>30271.5</v>
      </c>
      <c r="M1771" s="21">
        <v>149.666666666667</v>
      </c>
      <c r="N1771" s="2" t="s">
        <v>79</v>
      </c>
    </row>
    <row r="1772" s="2" customFormat="1" spans="1:14">
      <c r="A1772" s="20">
        <v>45898</v>
      </c>
      <c r="B1772" s="2" t="s">
        <v>98</v>
      </c>
      <c r="C1772" s="2" t="s">
        <v>99</v>
      </c>
      <c r="D1772" s="2">
        <v>1</v>
      </c>
      <c r="E1772" s="2">
        <v>963</v>
      </c>
      <c r="F1772" s="2">
        <v>124</v>
      </c>
      <c r="G1772" s="2">
        <v>160307</v>
      </c>
      <c r="H1772" s="2">
        <v>4</v>
      </c>
      <c r="I1772" s="2" t="s">
        <v>78</v>
      </c>
      <c r="J1772" s="3">
        <v>0.128764278296989</v>
      </c>
      <c r="K1772" s="21">
        <v>1292.79838709677</v>
      </c>
      <c r="L1772" s="21">
        <v>40076.75</v>
      </c>
      <c r="M1772" s="21">
        <v>240.75</v>
      </c>
      <c r="N1772" s="2" t="s">
        <v>79</v>
      </c>
    </row>
    <row r="1773" s="2" customFormat="1" spans="1:14">
      <c r="A1773" s="20">
        <v>45899</v>
      </c>
      <c r="B1773" s="2" t="s">
        <v>98</v>
      </c>
      <c r="C1773" s="2" t="s">
        <v>99</v>
      </c>
      <c r="D1773" s="2">
        <v>1</v>
      </c>
      <c r="E1773" s="2">
        <v>1250</v>
      </c>
      <c r="F1773" s="2">
        <v>165</v>
      </c>
      <c r="G1773" s="2">
        <v>250627</v>
      </c>
      <c r="H1773" s="2">
        <v>5</v>
      </c>
      <c r="I1773" s="2" t="s">
        <v>81</v>
      </c>
      <c r="J1773" s="3">
        <v>0.132</v>
      </c>
      <c r="K1773" s="21">
        <v>1518.95151515151</v>
      </c>
      <c r="L1773" s="21">
        <v>50125.4</v>
      </c>
      <c r="M1773" s="21">
        <v>250</v>
      </c>
      <c r="N1773" s="2" t="s">
        <v>80</v>
      </c>
    </row>
    <row r="1774" s="2" customFormat="1" spans="1:14">
      <c r="A1774" s="20">
        <v>45900</v>
      </c>
      <c r="B1774" s="2" t="s">
        <v>98</v>
      </c>
      <c r="C1774" s="2" t="s">
        <v>99</v>
      </c>
      <c r="D1774" s="2">
        <v>1</v>
      </c>
      <c r="E1774" s="2">
        <v>1051</v>
      </c>
      <c r="F1774" s="2">
        <v>131</v>
      </c>
      <c r="G1774" s="2">
        <v>170251</v>
      </c>
      <c r="H1774" s="2">
        <v>7</v>
      </c>
      <c r="I1774" s="2" t="s">
        <v>78</v>
      </c>
      <c r="J1774" s="3">
        <v>0.124643196955281</v>
      </c>
      <c r="K1774" s="21">
        <v>1299.62595419847</v>
      </c>
      <c r="L1774" s="21">
        <v>24321.5714285714</v>
      </c>
      <c r="M1774" s="21">
        <v>150.142857142857</v>
      </c>
      <c r="N1774" s="2" t="s">
        <v>80</v>
      </c>
    </row>
    <row r="1775" s="2" customFormat="1" spans="1:14">
      <c r="A1775" s="20">
        <v>45901</v>
      </c>
      <c r="B1775" s="2" t="s">
        <v>98</v>
      </c>
      <c r="C1775" s="2" t="s">
        <v>99</v>
      </c>
      <c r="D1775" s="2">
        <v>1</v>
      </c>
      <c r="E1775" s="2">
        <v>761</v>
      </c>
      <c r="F1775" s="2">
        <v>99</v>
      </c>
      <c r="G1775" s="2">
        <v>119112</v>
      </c>
      <c r="H1775" s="2">
        <v>7</v>
      </c>
      <c r="I1775" s="2" t="s">
        <v>78</v>
      </c>
      <c r="J1775" s="3">
        <v>0.130091984231275</v>
      </c>
      <c r="K1775" s="21">
        <v>1203.15151515152</v>
      </c>
      <c r="L1775" s="21">
        <v>17016</v>
      </c>
      <c r="M1775" s="21">
        <v>108.714285714286</v>
      </c>
      <c r="N1775" s="2" t="s">
        <v>79</v>
      </c>
    </row>
    <row r="1776" s="2" customFormat="1" spans="1:14">
      <c r="A1776" s="20">
        <v>45902</v>
      </c>
      <c r="B1776" s="2" t="s">
        <v>98</v>
      </c>
      <c r="C1776" s="2" t="s">
        <v>99</v>
      </c>
      <c r="D1776" s="2">
        <v>1</v>
      </c>
      <c r="E1776" s="2">
        <v>740</v>
      </c>
      <c r="F1776" s="2">
        <v>114</v>
      </c>
      <c r="G1776" s="2">
        <v>193221</v>
      </c>
      <c r="H1776" s="2">
        <v>9</v>
      </c>
      <c r="I1776" s="2" t="s">
        <v>78</v>
      </c>
      <c r="J1776" s="3">
        <v>0.154054054054054</v>
      </c>
      <c r="K1776" s="21">
        <v>1694.92105263158</v>
      </c>
      <c r="L1776" s="21">
        <v>21469</v>
      </c>
      <c r="M1776" s="21">
        <v>82.2222222222222</v>
      </c>
      <c r="N1776" s="2" t="s">
        <v>79</v>
      </c>
    </row>
    <row r="1777" s="2" customFormat="1" spans="1:14">
      <c r="A1777" s="20">
        <v>45903</v>
      </c>
      <c r="B1777" s="2" t="s">
        <v>98</v>
      </c>
      <c r="C1777" s="2" t="s">
        <v>99</v>
      </c>
      <c r="D1777" s="2">
        <v>1</v>
      </c>
      <c r="E1777" s="2">
        <v>924</v>
      </c>
      <c r="F1777" s="2">
        <v>130</v>
      </c>
      <c r="G1777" s="2">
        <v>205531</v>
      </c>
      <c r="H1777" s="2">
        <v>5</v>
      </c>
      <c r="I1777" s="2" t="s">
        <v>81</v>
      </c>
      <c r="J1777" s="3">
        <v>0.140692640692641</v>
      </c>
      <c r="K1777" s="21">
        <v>1581.00769230769</v>
      </c>
      <c r="L1777" s="21">
        <v>41106.2</v>
      </c>
      <c r="M1777" s="21">
        <v>184.8</v>
      </c>
      <c r="N1777" s="2" t="s">
        <v>79</v>
      </c>
    </row>
    <row r="1778" s="2" customFormat="1" spans="1:14">
      <c r="A1778" s="20">
        <v>45904</v>
      </c>
      <c r="B1778" s="2" t="s">
        <v>98</v>
      </c>
      <c r="C1778" s="2" t="s">
        <v>99</v>
      </c>
      <c r="D1778" s="2">
        <v>1</v>
      </c>
      <c r="E1778" s="2">
        <v>998</v>
      </c>
      <c r="F1778" s="2">
        <v>143</v>
      </c>
      <c r="G1778" s="2">
        <v>209815</v>
      </c>
      <c r="H1778" s="2">
        <v>7</v>
      </c>
      <c r="I1778" s="2" t="s">
        <v>78</v>
      </c>
      <c r="J1778" s="3">
        <v>0.143286573146293</v>
      </c>
      <c r="K1778" s="21">
        <v>1467.23776223776</v>
      </c>
      <c r="L1778" s="21">
        <v>29973.5714285714</v>
      </c>
      <c r="M1778" s="21">
        <v>142.571428571429</v>
      </c>
      <c r="N1778" s="2" t="s">
        <v>79</v>
      </c>
    </row>
    <row r="1779" s="2" customFormat="1" spans="1:14">
      <c r="A1779" s="20">
        <v>45905</v>
      </c>
      <c r="B1779" s="2" t="s">
        <v>98</v>
      </c>
      <c r="C1779" s="2" t="s">
        <v>99</v>
      </c>
      <c r="D1779" s="2">
        <v>1</v>
      </c>
      <c r="E1779" s="2">
        <v>853</v>
      </c>
      <c r="F1779" s="2">
        <v>101</v>
      </c>
      <c r="G1779" s="2">
        <v>162841</v>
      </c>
      <c r="H1779" s="2">
        <v>5</v>
      </c>
      <c r="I1779" s="2" t="s">
        <v>78</v>
      </c>
      <c r="J1779" s="3">
        <v>0.118405627198124</v>
      </c>
      <c r="K1779" s="21">
        <v>1612.28712871287</v>
      </c>
      <c r="L1779" s="21">
        <v>32568.2</v>
      </c>
      <c r="M1779" s="21">
        <v>170.6</v>
      </c>
      <c r="N1779" s="2" t="s">
        <v>79</v>
      </c>
    </row>
    <row r="1780" s="2" customFormat="1" spans="1:14">
      <c r="A1780" s="20">
        <v>45906</v>
      </c>
      <c r="B1780" s="2" t="s">
        <v>98</v>
      </c>
      <c r="C1780" s="2" t="s">
        <v>99</v>
      </c>
      <c r="D1780" s="2">
        <v>1</v>
      </c>
      <c r="E1780" s="2">
        <v>1506</v>
      </c>
      <c r="F1780" s="2">
        <v>214</v>
      </c>
      <c r="G1780" s="2">
        <v>239581</v>
      </c>
      <c r="H1780" s="2">
        <v>9</v>
      </c>
      <c r="I1780" s="2" t="s">
        <v>78</v>
      </c>
      <c r="J1780" s="3">
        <v>0.142098273572377</v>
      </c>
      <c r="K1780" s="21">
        <v>1119.53738317757</v>
      </c>
      <c r="L1780" s="21">
        <v>26620.1111111111</v>
      </c>
      <c r="M1780" s="21">
        <v>167.333333333333</v>
      </c>
      <c r="N1780" s="2" t="s">
        <v>80</v>
      </c>
    </row>
    <row r="1781" s="2" customFormat="1" spans="1:14">
      <c r="A1781" s="20">
        <v>45907</v>
      </c>
      <c r="B1781" s="2" t="s">
        <v>98</v>
      </c>
      <c r="C1781" s="2" t="s">
        <v>99</v>
      </c>
      <c r="D1781" s="2">
        <v>1</v>
      </c>
      <c r="E1781" s="2">
        <v>1893</v>
      </c>
      <c r="F1781" s="2">
        <v>283</v>
      </c>
      <c r="G1781" s="2">
        <v>410756</v>
      </c>
      <c r="H1781" s="2">
        <v>8</v>
      </c>
      <c r="I1781" s="2" t="s">
        <v>78</v>
      </c>
      <c r="J1781" s="3">
        <v>0.149498151082937</v>
      </c>
      <c r="K1781" s="21">
        <v>1451.43462897527</v>
      </c>
      <c r="L1781" s="21">
        <v>51344.5</v>
      </c>
      <c r="M1781" s="21">
        <v>236.625</v>
      </c>
      <c r="N1781" s="2" t="s">
        <v>80</v>
      </c>
    </row>
    <row r="1782" s="2" customFormat="1" spans="1:14">
      <c r="A1782" s="20">
        <v>45908</v>
      </c>
      <c r="B1782" s="2" t="s">
        <v>98</v>
      </c>
      <c r="C1782" s="2" t="s">
        <v>99</v>
      </c>
      <c r="D1782" s="2">
        <v>1</v>
      </c>
      <c r="E1782" s="2">
        <v>1017</v>
      </c>
      <c r="F1782" s="2">
        <v>150</v>
      </c>
      <c r="G1782" s="2">
        <v>249433</v>
      </c>
      <c r="H1782" s="2">
        <v>8</v>
      </c>
      <c r="I1782" s="2" t="s">
        <v>78</v>
      </c>
      <c r="J1782" s="3">
        <v>0.147492625368732</v>
      </c>
      <c r="K1782" s="21">
        <v>1662.88666666667</v>
      </c>
      <c r="L1782" s="21">
        <v>31179.125</v>
      </c>
      <c r="M1782" s="21">
        <v>127.125</v>
      </c>
      <c r="N1782" s="2" t="s">
        <v>79</v>
      </c>
    </row>
    <row r="1783" s="2" customFormat="1" spans="1:14">
      <c r="A1783" s="20">
        <v>45909</v>
      </c>
      <c r="B1783" s="2" t="s">
        <v>98</v>
      </c>
      <c r="C1783" s="2" t="s">
        <v>99</v>
      </c>
      <c r="D1783" s="2">
        <v>1</v>
      </c>
      <c r="E1783" s="2">
        <v>990</v>
      </c>
      <c r="F1783" s="2">
        <v>122</v>
      </c>
      <c r="G1783" s="2">
        <v>150751</v>
      </c>
      <c r="H1783" s="2">
        <v>4</v>
      </c>
      <c r="I1783" s="2" t="s">
        <v>78</v>
      </c>
      <c r="J1783" s="3">
        <v>0.123232323232323</v>
      </c>
      <c r="K1783" s="21">
        <v>1235.66393442623</v>
      </c>
      <c r="L1783" s="21">
        <v>37687.75</v>
      </c>
      <c r="M1783" s="21">
        <v>247.5</v>
      </c>
      <c r="N1783" s="2" t="s">
        <v>79</v>
      </c>
    </row>
    <row r="1784" s="2" customFormat="1" spans="1:14">
      <c r="A1784" s="20">
        <v>45910</v>
      </c>
      <c r="B1784" s="2" t="s">
        <v>98</v>
      </c>
      <c r="C1784" s="2" t="s">
        <v>99</v>
      </c>
      <c r="D1784" s="2">
        <v>1</v>
      </c>
      <c r="E1784" s="2">
        <v>795</v>
      </c>
      <c r="F1784" s="2">
        <v>96</v>
      </c>
      <c r="G1784" s="2">
        <v>111008</v>
      </c>
      <c r="H1784" s="2">
        <v>5</v>
      </c>
      <c r="I1784" s="2" t="s">
        <v>78</v>
      </c>
      <c r="J1784" s="3">
        <v>0.120754716981132</v>
      </c>
      <c r="K1784" s="21">
        <v>1156.33333333333</v>
      </c>
      <c r="L1784" s="21">
        <v>22201.6</v>
      </c>
      <c r="M1784" s="21">
        <v>159</v>
      </c>
      <c r="N1784" s="2" t="s">
        <v>79</v>
      </c>
    </row>
    <row r="1785" s="2" customFormat="1" spans="1:14">
      <c r="A1785" s="20">
        <v>45911</v>
      </c>
      <c r="B1785" s="2" t="s">
        <v>98</v>
      </c>
      <c r="C1785" s="2" t="s">
        <v>99</v>
      </c>
      <c r="D1785" s="2">
        <v>1</v>
      </c>
      <c r="E1785" s="2">
        <v>855</v>
      </c>
      <c r="F1785" s="2">
        <v>118</v>
      </c>
      <c r="G1785" s="2">
        <v>142526</v>
      </c>
      <c r="H1785" s="2">
        <v>5</v>
      </c>
      <c r="I1785" s="2" t="s">
        <v>78</v>
      </c>
      <c r="J1785" s="3">
        <v>0.138011695906433</v>
      </c>
      <c r="K1785" s="21">
        <v>1207.84745762712</v>
      </c>
      <c r="L1785" s="21">
        <v>28505.2</v>
      </c>
      <c r="M1785" s="21">
        <v>171</v>
      </c>
      <c r="N1785" s="2" t="s">
        <v>79</v>
      </c>
    </row>
    <row r="1786" s="2" customFormat="1" spans="1:14">
      <c r="A1786" s="20">
        <v>45912</v>
      </c>
      <c r="B1786" s="2" t="s">
        <v>98</v>
      </c>
      <c r="C1786" s="2" t="s">
        <v>99</v>
      </c>
      <c r="D1786" s="2">
        <v>1</v>
      </c>
      <c r="E1786" s="2">
        <v>820</v>
      </c>
      <c r="F1786" s="2">
        <v>110</v>
      </c>
      <c r="G1786" s="2">
        <v>164685</v>
      </c>
      <c r="H1786" s="2">
        <v>8</v>
      </c>
      <c r="I1786" s="2" t="s">
        <v>78</v>
      </c>
      <c r="J1786" s="3">
        <v>0.134146341463415</v>
      </c>
      <c r="K1786" s="21">
        <v>1497.13636363636</v>
      </c>
      <c r="L1786" s="21">
        <v>20585.625</v>
      </c>
      <c r="M1786" s="21">
        <v>102.5</v>
      </c>
      <c r="N1786" s="2" t="s">
        <v>79</v>
      </c>
    </row>
    <row r="1787" s="2" customFormat="1" spans="1:14">
      <c r="A1787" s="20">
        <v>45913</v>
      </c>
      <c r="B1787" s="2" t="s">
        <v>98</v>
      </c>
      <c r="C1787" s="2" t="s">
        <v>99</v>
      </c>
      <c r="D1787" s="2">
        <v>1</v>
      </c>
      <c r="E1787" s="2">
        <v>1123</v>
      </c>
      <c r="F1787" s="2">
        <v>152</v>
      </c>
      <c r="G1787" s="2">
        <v>246024</v>
      </c>
      <c r="H1787" s="2">
        <v>6</v>
      </c>
      <c r="I1787" s="2" t="s">
        <v>81</v>
      </c>
      <c r="J1787" s="3">
        <v>0.135351736420303</v>
      </c>
      <c r="K1787" s="21">
        <v>1618.57894736842</v>
      </c>
      <c r="L1787" s="21">
        <v>41004</v>
      </c>
      <c r="M1787" s="21">
        <v>187.166666666667</v>
      </c>
      <c r="N1787" s="2" t="s">
        <v>80</v>
      </c>
    </row>
    <row r="1788" s="2" customFormat="1" spans="1:14">
      <c r="A1788" s="20">
        <v>45914</v>
      </c>
      <c r="B1788" s="2" t="s">
        <v>98</v>
      </c>
      <c r="C1788" s="2" t="s">
        <v>99</v>
      </c>
      <c r="D1788" s="2">
        <v>1</v>
      </c>
      <c r="E1788" s="2">
        <v>1272</v>
      </c>
      <c r="F1788" s="2">
        <v>183</v>
      </c>
      <c r="G1788" s="2">
        <v>226078</v>
      </c>
      <c r="H1788" s="2">
        <v>9</v>
      </c>
      <c r="I1788" s="2" t="s">
        <v>81</v>
      </c>
      <c r="J1788" s="3">
        <v>0.143867924528302</v>
      </c>
      <c r="K1788" s="21">
        <v>1235.39890710382</v>
      </c>
      <c r="L1788" s="21">
        <v>25119.7777777778</v>
      </c>
      <c r="M1788" s="21">
        <v>141.333333333333</v>
      </c>
      <c r="N1788" s="2" t="s">
        <v>80</v>
      </c>
    </row>
    <row r="1789" s="2" customFormat="1" spans="1:14">
      <c r="A1789" s="20">
        <v>45915</v>
      </c>
      <c r="B1789" s="2" t="s">
        <v>98</v>
      </c>
      <c r="C1789" s="2" t="s">
        <v>99</v>
      </c>
      <c r="D1789" s="2">
        <v>1</v>
      </c>
      <c r="E1789" s="2">
        <v>940</v>
      </c>
      <c r="F1789" s="2">
        <v>121</v>
      </c>
      <c r="G1789" s="2">
        <v>198001</v>
      </c>
      <c r="H1789" s="2">
        <v>5</v>
      </c>
      <c r="I1789" s="2" t="s">
        <v>78</v>
      </c>
      <c r="J1789" s="3">
        <v>0.128723404255319</v>
      </c>
      <c r="K1789" s="21">
        <v>1636.37190082645</v>
      </c>
      <c r="L1789" s="21">
        <v>39600.2</v>
      </c>
      <c r="M1789" s="21">
        <v>188</v>
      </c>
      <c r="N1789" s="2" t="s">
        <v>79</v>
      </c>
    </row>
    <row r="1790" s="2" customFormat="1" spans="1:14">
      <c r="A1790" s="20">
        <v>45916</v>
      </c>
      <c r="B1790" s="2" t="s">
        <v>98</v>
      </c>
      <c r="C1790" s="2" t="s">
        <v>99</v>
      </c>
      <c r="D1790" s="2">
        <v>1</v>
      </c>
      <c r="E1790" s="2">
        <v>763</v>
      </c>
      <c r="F1790" s="2">
        <v>99</v>
      </c>
      <c r="G1790" s="2">
        <v>118519</v>
      </c>
      <c r="H1790" s="2">
        <v>4</v>
      </c>
      <c r="I1790" s="2" t="s">
        <v>78</v>
      </c>
      <c r="J1790" s="3">
        <v>0.129750982961992</v>
      </c>
      <c r="K1790" s="21">
        <v>1197.16161616162</v>
      </c>
      <c r="L1790" s="21">
        <v>29629.75</v>
      </c>
      <c r="M1790" s="21">
        <v>190.75</v>
      </c>
      <c r="N1790" s="2" t="s">
        <v>79</v>
      </c>
    </row>
    <row r="1791" s="2" customFormat="1" spans="1:14">
      <c r="A1791" s="20">
        <v>45917</v>
      </c>
      <c r="B1791" s="2" t="s">
        <v>98</v>
      </c>
      <c r="C1791" s="2" t="s">
        <v>99</v>
      </c>
      <c r="D1791" s="2">
        <v>1</v>
      </c>
      <c r="E1791" s="2">
        <v>896</v>
      </c>
      <c r="F1791" s="2">
        <v>126</v>
      </c>
      <c r="G1791" s="2">
        <v>156871</v>
      </c>
      <c r="H1791" s="2">
        <v>8</v>
      </c>
      <c r="I1791" s="2" t="s">
        <v>81</v>
      </c>
      <c r="J1791" s="3">
        <v>0.140625</v>
      </c>
      <c r="K1791" s="21">
        <v>1245.00793650794</v>
      </c>
      <c r="L1791" s="21">
        <v>19608.875</v>
      </c>
      <c r="M1791" s="21">
        <v>112</v>
      </c>
      <c r="N1791" s="2" t="s">
        <v>79</v>
      </c>
    </row>
    <row r="1792" s="2" customFormat="1" spans="1:14">
      <c r="A1792" s="20">
        <v>45918</v>
      </c>
      <c r="B1792" s="2" t="s">
        <v>98</v>
      </c>
      <c r="C1792" s="2" t="s">
        <v>99</v>
      </c>
      <c r="D1792" s="2">
        <v>1</v>
      </c>
      <c r="E1792" s="2">
        <v>762</v>
      </c>
      <c r="F1792" s="2">
        <v>90</v>
      </c>
      <c r="G1792" s="2">
        <v>108856</v>
      </c>
      <c r="H1792" s="2">
        <v>5</v>
      </c>
      <c r="I1792" s="2" t="s">
        <v>78</v>
      </c>
      <c r="J1792" s="3">
        <v>0.118110236220472</v>
      </c>
      <c r="K1792" s="21">
        <v>1209.51111111111</v>
      </c>
      <c r="L1792" s="21">
        <v>21771.2</v>
      </c>
      <c r="M1792" s="21">
        <v>152.4</v>
      </c>
      <c r="N1792" s="2" t="s">
        <v>79</v>
      </c>
    </row>
    <row r="1793" s="2" customFormat="1" spans="1:14">
      <c r="A1793" s="20">
        <v>45919</v>
      </c>
      <c r="B1793" s="2" t="s">
        <v>98</v>
      </c>
      <c r="C1793" s="2" t="s">
        <v>99</v>
      </c>
      <c r="D1793" s="2">
        <v>1</v>
      </c>
      <c r="E1793" s="2">
        <v>859</v>
      </c>
      <c r="F1793" s="2">
        <v>120</v>
      </c>
      <c r="G1793" s="2">
        <v>176860</v>
      </c>
      <c r="H1793" s="2">
        <v>5</v>
      </c>
      <c r="I1793" s="2" t="s">
        <v>78</v>
      </c>
      <c r="J1793" s="3">
        <v>0.139697322467986</v>
      </c>
      <c r="K1793" s="21">
        <v>1473.83333333333</v>
      </c>
      <c r="L1793" s="21">
        <v>35372</v>
      </c>
      <c r="M1793" s="21">
        <v>171.8</v>
      </c>
      <c r="N1793" s="2" t="s">
        <v>79</v>
      </c>
    </row>
    <row r="1794" s="2" customFormat="1" spans="1:14">
      <c r="A1794" s="20">
        <v>45920</v>
      </c>
      <c r="B1794" s="2" t="s">
        <v>98</v>
      </c>
      <c r="C1794" s="2" t="s">
        <v>99</v>
      </c>
      <c r="D1794" s="2">
        <v>1</v>
      </c>
      <c r="E1794" s="2">
        <v>1153</v>
      </c>
      <c r="F1794" s="2">
        <v>172</v>
      </c>
      <c r="G1794" s="2">
        <v>200991</v>
      </c>
      <c r="H1794" s="2">
        <v>8</v>
      </c>
      <c r="I1794" s="2" t="s">
        <v>81</v>
      </c>
      <c r="J1794" s="3">
        <v>0.149176062445794</v>
      </c>
      <c r="K1794" s="21">
        <v>1168.5523255814</v>
      </c>
      <c r="L1794" s="21">
        <v>25123.875</v>
      </c>
      <c r="M1794" s="21">
        <v>144.125</v>
      </c>
      <c r="N1794" s="2" t="s">
        <v>80</v>
      </c>
    </row>
    <row r="1795" s="2" customFormat="1" spans="1:14">
      <c r="A1795" s="20">
        <v>45921</v>
      </c>
      <c r="B1795" s="2" t="s">
        <v>98</v>
      </c>
      <c r="C1795" s="2" t="s">
        <v>99</v>
      </c>
      <c r="D1795" s="2">
        <v>1</v>
      </c>
      <c r="E1795" s="2">
        <v>1300</v>
      </c>
      <c r="F1795" s="2">
        <v>174</v>
      </c>
      <c r="G1795" s="2">
        <v>221912</v>
      </c>
      <c r="H1795" s="2">
        <v>9</v>
      </c>
      <c r="I1795" s="2" t="s">
        <v>78</v>
      </c>
      <c r="J1795" s="3">
        <v>0.133846153846154</v>
      </c>
      <c r="K1795" s="21">
        <v>1275.35632183908</v>
      </c>
      <c r="L1795" s="21">
        <v>24656.8888888889</v>
      </c>
      <c r="M1795" s="21">
        <v>144.444444444445</v>
      </c>
      <c r="N1795" s="2" t="s">
        <v>80</v>
      </c>
    </row>
    <row r="1796" s="2" customFormat="1" spans="1:14">
      <c r="A1796" s="20">
        <v>45922</v>
      </c>
      <c r="B1796" s="2" t="s">
        <v>98</v>
      </c>
      <c r="C1796" s="2" t="s">
        <v>99</v>
      </c>
      <c r="D1796" s="2">
        <v>1</v>
      </c>
      <c r="E1796" s="2">
        <v>883</v>
      </c>
      <c r="F1796" s="2">
        <v>103</v>
      </c>
      <c r="G1796" s="2">
        <v>136092</v>
      </c>
      <c r="H1796" s="2">
        <v>4</v>
      </c>
      <c r="I1796" s="2" t="s">
        <v>78</v>
      </c>
      <c r="J1796" s="3">
        <v>0.116647791619479</v>
      </c>
      <c r="K1796" s="21">
        <v>1321.28155339806</v>
      </c>
      <c r="L1796" s="21">
        <v>34023</v>
      </c>
      <c r="M1796" s="21">
        <v>220.75</v>
      </c>
      <c r="N1796" s="2" t="s">
        <v>79</v>
      </c>
    </row>
    <row r="1797" s="2" customFormat="1" spans="1:14">
      <c r="A1797" s="20">
        <v>45923</v>
      </c>
      <c r="B1797" s="2" t="s">
        <v>98</v>
      </c>
      <c r="C1797" s="2" t="s">
        <v>99</v>
      </c>
      <c r="D1797" s="2">
        <v>1</v>
      </c>
      <c r="E1797" s="2">
        <v>768</v>
      </c>
      <c r="F1797" s="2">
        <v>97</v>
      </c>
      <c r="G1797" s="2">
        <v>149858</v>
      </c>
      <c r="H1797" s="2">
        <v>7</v>
      </c>
      <c r="I1797" s="2" t="s">
        <v>78</v>
      </c>
      <c r="J1797" s="3">
        <v>0.126302083333333</v>
      </c>
      <c r="K1797" s="21">
        <v>1544.92783505155</v>
      </c>
      <c r="L1797" s="21">
        <v>21408.2857142857</v>
      </c>
      <c r="M1797" s="21">
        <v>109.714285714286</v>
      </c>
      <c r="N1797" s="2" t="s">
        <v>79</v>
      </c>
    </row>
    <row r="1798" s="2" customFormat="1" spans="1:14">
      <c r="A1798" s="20">
        <v>45924</v>
      </c>
      <c r="B1798" s="2" t="s">
        <v>98</v>
      </c>
      <c r="C1798" s="2" t="s">
        <v>99</v>
      </c>
      <c r="D1798" s="2">
        <v>1</v>
      </c>
      <c r="E1798" s="2">
        <v>1118</v>
      </c>
      <c r="F1798" s="2">
        <v>148</v>
      </c>
      <c r="G1798" s="2">
        <v>248764</v>
      </c>
      <c r="H1798" s="2">
        <v>8</v>
      </c>
      <c r="I1798" s="2" t="s">
        <v>78</v>
      </c>
      <c r="J1798" s="3">
        <v>0.132379248658318</v>
      </c>
      <c r="K1798" s="21">
        <v>1680.83783783784</v>
      </c>
      <c r="L1798" s="21">
        <v>31095.5</v>
      </c>
      <c r="M1798" s="21">
        <v>139.75</v>
      </c>
      <c r="N1798" s="2" t="s">
        <v>79</v>
      </c>
    </row>
    <row r="1799" s="2" customFormat="1" spans="1:14">
      <c r="A1799" s="20">
        <v>45925</v>
      </c>
      <c r="B1799" s="2" t="s">
        <v>98</v>
      </c>
      <c r="C1799" s="2" t="s">
        <v>99</v>
      </c>
      <c r="D1799" s="2">
        <v>1</v>
      </c>
      <c r="E1799" s="2">
        <v>856</v>
      </c>
      <c r="F1799" s="2">
        <v>125</v>
      </c>
      <c r="G1799" s="2">
        <v>207897</v>
      </c>
      <c r="H1799" s="2">
        <v>6</v>
      </c>
      <c r="I1799" s="2" t="s">
        <v>78</v>
      </c>
      <c r="J1799" s="3">
        <v>0.146028037383178</v>
      </c>
      <c r="K1799" s="21">
        <v>1663.176</v>
      </c>
      <c r="L1799" s="21">
        <v>34649.5</v>
      </c>
      <c r="M1799" s="21">
        <v>142.666666666667</v>
      </c>
      <c r="N1799" s="2" t="s">
        <v>79</v>
      </c>
    </row>
    <row r="1800" s="2" customFormat="1" spans="1:14">
      <c r="A1800" s="20">
        <v>45926</v>
      </c>
      <c r="B1800" s="2" t="s">
        <v>98</v>
      </c>
      <c r="C1800" s="2" t="s">
        <v>99</v>
      </c>
      <c r="D1800" s="2">
        <v>1</v>
      </c>
      <c r="E1800" s="2">
        <v>1111</v>
      </c>
      <c r="F1800" s="2">
        <v>166</v>
      </c>
      <c r="G1800" s="2">
        <v>218888</v>
      </c>
      <c r="H1800" s="2">
        <v>9</v>
      </c>
      <c r="I1800" s="2" t="s">
        <v>78</v>
      </c>
      <c r="J1800" s="3">
        <v>0.149414941494149</v>
      </c>
      <c r="K1800" s="21">
        <v>1318.60240963855</v>
      </c>
      <c r="L1800" s="21">
        <v>24320.8888888889</v>
      </c>
      <c r="M1800" s="21">
        <v>123.444444444444</v>
      </c>
      <c r="N1800" s="2" t="s">
        <v>79</v>
      </c>
    </row>
    <row r="1801" s="2" customFormat="1" spans="1:14">
      <c r="A1801" s="20">
        <v>45927</v>
      </c>
      <c r="B1801" s="2" t="s">
        <v>98</v>
      </c>
      <c r="C1801" s="2" t="s">
        <v>99</v>
      </c>
      <c r="D1801" s="2">
        <v>1</v>
      </c>
      <c r="E1801" s="2">
        <v>1342</v>
      </c>
      <c r="F1801" s="2">
        <v>168</v>
      </c>
      <c r="G1801" s="2">
        <v>189027</v>
      </c>
      <c r="H1801" s="2">
        <v>7</v>
      </c>
      <c r="I1801" s="2" t="s">
        <v>78</v>
      </c>
      <c r="J1801" s="3">
        <v>0.125186289120715</v>
      </c>
      <c r="K1801" s="21">
        <v>1125.16071428571</v>
      </c>
      <c r="L1801" s="21">
        <v>27003.8571428571</v>
      </c>
      <c r="M1801" s="21">
        <v>191.714285714286</v>
      </c>
      <c r="N1801" s="2" t="s">
        <v>80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2.75" outlineLevelCol="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ht="25.5" customHeight="1" spans="1:6">
      <c r="A1" s="13" t="s">
        <v>100</v>
      </c>
      <c r="B1" s="13" t="s">
        <v>101</v>
      </c>
      <c r="C1" s="13" t="s">
        <v>102</v>
      </c>
      <c r="D1" s="13" t="s">
        <v>103</v>
      </c>
      <c r="E1" s="13" t="s">
        <v>104</v>
      </c>
      <c r="F1" s="13" t="s">
        <v>105</v>
      </c>
    </row>
    <row r="2" spans="1:6">
      <c r="A2" t="s">
        <v>106</v>
      </c>
      <c r="B2" t="s">
        <v>62</v>
      </c>
      <c r="C2" t="s">
        <v>107</v>
      </c>
      <c r="D2" t="s">
        <v>108</v>
      </c>
      <c r="E2">
        <v>1800</v>
      </c>
      <c r="F2">
        <v>180</v>
      </c>
    </row>
    <row r="3" spans="1:6">
      <c r="A3" t="s">
        <v>106</v>
      </c>
      <c r="B3" t="s">
        <v>63</v>
      </c>
      <c r="C3" t="s">
        <v>109</v>
      </c>
      <c r="D3" t="s">
        <v>76</v>
      </c>
      <c r="E3">
        <v>1800</v>
      </c>
      <c r="F3">
        <v>10</v>
      </c>
    </row>
    <row r="4" spans="1:6">
      <c r="A4" t="s">
        <v>106</v>
      </c>
      <c r="B4" t="s">
        <v>64</v>
      </c>
      <c r="C4" t="s">
        <v>109</v>
      </c>
      <c r="D4" t="s">
        <v>77</v>
      </c>
      <c r="E4">
        <v>1800</v>
      </c>
      <c r="F4">
        <v>10</v>
      </c>
    </row>
    <row r="5" spans="1:6">
      <c r="A5" t="s">
        <v>106</v>
      </c>
      <c r="B5" t="s">
        <v>65</v>
      </c>
      <c r="C5" t="s">
        <v>110</v>
      </c>
      <c r="D5" t="s">
        <v>111</v>
      </c>
      <c r="E5">
        <v>1800</v>
      </c>
      <c r="F5">
        <v>3</v>
      </c>
    </row>
    <row r="6" spans="1:6">
      <c r="A6" t="s">
        <v>106</v>
      </c>
      <c r="B6" t="s">
        <v>66</v>
      </c>
      <c r="C6" t="s">
        <v>110</v>
      </c>
      <c r="D6" t="s">
        <v>112</v>
      </c>
      <c r="E6">
        <v>1800</v>
      </c>
      <c r="F6">
        <v>770</v>
      </c>
    </row>
    <row r="7" spans="1:6">
      <c r="A7" t="s">
        <v>106</v>
      </c>
      <c r="B7" t="s">
        <v>67</v>
      </c>
      <c r="C7" t="s">
        <v>110</v>
      </c>
      <c r="D7" t="s">
        <v>113</v>
      </c>
      <c r="E7">
        <v>1800</v>
      </c>
      <c r="F7">
        <v>230</v>
      </c>
    </row>
    <row r="8" spans="1:6">
      <c r="A8" t="s">
        <v>106</v>
      </c>
      <c r="B8" t="s">
        <v>68</v>
      </c>
      <c r="C8" t="s">
        <v>114</v>
      </c>
      <c r="D8" t="s">
        <v>115</v>
      </c>
      <c r="E8">
        <v>1800</v>
      </c>
      <c r="F8">
        <v>1793</v>
      </c>
    </row>
    <row r="9" spans="1:6">
      <c r="A9" t="s">
        <v>106</v>
      </c>
      <c r="B9" t="s">
        <v>69</v>
      </c>
      <c r="C9" t="s">
        <v>110</v>
      </c>
      <c r="D9" t="s">
        <v>116</v>
      </c>
      <c r="E9">
        <v>1800</v>
      </c>
      <c r="F9">
        <v>6</v>
      </c>
    </row>
    <row r="10" spans="1:6">
      <c r="A10" t="s">
        <v>106</v>
      </c>
      <c r="B10" t="s">
        <v>70</v>
      </c>
      <c r="C10" t="s">
        <v>109</v>
      </c>
      <c r="D10" t="s">
        <v>78</v>
      </c>
      <c r="E10">
        <v>1800</v>
      </c>
      <c r="F10">
        <v>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opLeftCell="C1" workbookViewId="0">
      <pane ySplit="3" topLeftCell="A18" activePane="bottomLeft" state="frozen"/>
      <selection/>
      <selection pane="bottomLeft" activeCell="F23" sqref="F23"/>
    </sheetView>
  </sheetViews>
  <sheetFormatPr defaultColWidth="8.67619047619048" defaultRowHeight="12.75"/>
  <cols>
    <col min="1" max="1" width="5" customWidth="1"/>
    <col min="2" max="2" width="12" customWidth="1"/>
    <col min="3" max="3" width="16" customWidth="1"/>
    <col min="4" max="5" width="18" customWidth="1"/>
    <col min="6" max="6" width="50" customWidth="1"/>
    <col min="7" max="8" width="36" customWidth="1"/>
    <col min="9" max="9" width="12" customWidth="1"/>
    <col min="10" max="10" width="22" customWidth="1"/>
  </cols>
  <sheetData>
    <row r="1" spans="1:10">
      <c r="A1" s="11" t="s">
        <v>117</v>
      </c>
    </row>
    <row r="2" spans="1:10">
      <c r="A2" s="12" t="s">
        <v>118</v>
      </c>
    </row>
    <row r="3" ht="25.5" customHeight="1" spans="1:10">
      <c r="A3" s="13" t="s">
        <v>119</v>
      </c>
      <c r="B3" s="13" t="s">
        <v>62</v>
      </c>
      <c r="C3" s="13" t="s">
        <v>120</v>
      </c>
      <c r="D3" s="13" t="s">
        <v>121</v>
      </c>
      <c r="E3" s="13" t="s">
        <v>122</v>
      </c>
      <c r="F3" s="13" t="s">
        <v>123</v>
      </c>
      <c r="G3" s="13" t="s">
        <v>124</v>
      </c>
      <c r="H3" s="13" t="s">
        <v>125</v>
      </c>
      <c r="I3" s="13" t="s">
        <v>126</v>
      </c>
      <c r="J3" s="13" t="s">
        <v>127</v>
      </c>
    </row>
    <row r="4" ht="38.25" customHeight="1" spans="1:10">
      <c r="A4" s="14">
        <v>1</v>
      </c>
      <c r="B4" s="15">
        <v>46034</v>
      </c>
      <c r="C4" s="14" t="s">
        <v>128</v>
      </c>
      <c r="D4" s="14" t="s">
        <v>129</v>
      </c>
      <c r="E4" s="14" t="s">
        <v>130</v>
      </c>
      <c r="F4" s="14" t="s">
        <v>131</v>
      </c>
      <c r="G4" s="14" t="s">
        <v>132</v>
      </c>
      <c r="H4" s="14" t="s">
        <v>133</v>
      </c>
      <c r="I4" s="14" t="s">
        <v>134</v>
      </c>
      <c r="J4" s="14" t="s">
        <v>135</v>
      </c>
    </row>
    <row r="5" ht="60" customHeight="1" spans="1:10">
      <c r="A5" s="16">
        <v>2</v>
      </c>
      <c r="B5" s="17">
        <v>46297</v>
      </c>
      <c r="C5" s="18" t="s">
        <v>136</v>
      </c>
      <c r="D5" s="18" t="s">
        <v>137</v>
      </c>
      <c r="E5" s="18" t="s">
        <v>138</v>
      </c>
      <c r="F5" s="18" t="s">
        <v>139</v>
      </c>
      <c r="G5" s="18" t="s">
        <v>140</v>
      </c>
      <c r="H5" s="18" t="s">
        <v>141</v>
      </c>
      <c r="I5" s="18" t="s">
        <v>142</v>
      </c>
      <c r="J5" s="18" t="s">
        <v>143</v>
      </c>
    </row>
    <row r="6" ht="60" customHeight="1" spans="1:10">
      <c r="A6" s="16">
        <v>3</v>
      </c>
      <c r="B6" s="17">
        <v>46297</v>
      </c>
      <c r="C6" s="18" t="s">
        <v>136</v>
      </c>
      <c r="D6" s="18" t="s">
        <v>137</v>
      </c>
      <c r="E6" s="18" t="s">
        <v>138</v>
      </c>
      <c r="F6" s="18" t="s">
        <v>144</v>
      </c>
      <c r="G6" s="18" t="s">
        <v>145</v>
      </c>
      <c r="H6" s="18" t="s">
        <v>146</v>
      </c>
      <c r="I6" s="18" t="s">
        <v>142</v>
      </c>
      <c r="J6" s="18" t="s">
        <v>147</v>
      </c>
    </row>
    <row r="7" ht="60" customHeight="1" spans="1:10">
      <c r="A7" s="16">
        <v>4</v>
      </c>
      <c r="B7" s="17">
        <v>46297</v>
      </c>
      <c r="C7" s="18" t="s">
        <v>136</v>
      </c>
      <c r="D7" s="18" t="s">
        <v>137</v>
      </c>
      <c r="E7" s="18" t="s">
        <v>138</v>
      </c>
      <c r="F7" s="18" t="s">
        <v>148</v>
      </c>
      <c r="G7" s="18" t="s">
        <v>149</v>
      </c>
      <c r="H7" s="18" t="s">
        <v>150</v>
      </c>
      <c r="I7" s="18" t="s">
        <v>142</v>
      </c>
      <c r="J7" s="18" t="s">
        <v>147</v>
      </c>
    </row>
    <row r="8" ht="60" customHeight="1" spans="1:10">
      <c r="A8" s="16">
        <v>5</v>
      </c>
      <c r="B8" s="17">
        <v>46297</v>
      </c>
      <c r="C8" s="18" t="s">
        <v>136</v>
      </c>
      <c r="D8" s="18" t="s">
        <v>137</v>
      </c>
      <c r="E8" s="18" t="s">
        <v>138</v>
      </c>
      <c r="F8" s="18" t="s">
        <v>151</v>
      </c>
      <c r="G8" s="18" t="s">
        <v>152</v>
      </c>
      <c r="H8" s="18" t="s">
        <v>153</v>
      </c>
      <c r="I8" s="18" t="s">
        <v>142</v>
      </c>
      <c r="J8" s="18" t="s">
        <v>143</v>
      </c>
    </row>
    <row r="9" ht="60" customHeight="1" spans="1:10">
      <c r="A9" s="16">
        <v>6</v>
      </c>
      <c r="B9" s="17">
        <v>46297</v>
      </c>
      <c r="C9" s="18" t="s">
        <v>136</v>
      </c>
      <c r="D9" s="18" t="s">
        <v>137</v>
      </c>
      <c r="E9" s="18" t="s">
        <v>138</v>
      </c>
      <c r="F9" s="18" t="s">
        <v>154</v>
      </c>
      <c r="G9" s="18" t="s">
        <v>155</v>
      </c>
      <c r="H9" s="18" t="s">
        <v>156</v>
      </c>
      <c r="I9" s="18" t="s">
        <v>142</v>
      </c>
      <c r="J9" s="18" t="s">
        <v>147</v>
      </c>
    </row>
    <row r="10" ht="60" customHeight="1" spans="1:10">
      <c r="A10" s="16">
        <v>7</v>
      </c>
      <c r="B10" s="17">
        <v>46297</v>
      </c>
      <c r="C10" s="18" t="s">
        <v>136</v>
      </c>
      <c r="D10" s="18" t="s">
        <v>137</v>
      </c>
      <c r="E10" s="18" t="s">
        <v>138</v>
      </c>
      <c r="F10" s="18" t="s">
        <v>157</v>
      </c>
      <c r="G10" s="18" t="s">
        <v>158</v>
      </c>
      <c r="H10" s="18" t="s">
        <v>159</v>
      </c>
      <c r="I10" s="18" t="s">
        <v>142</v>
      </c>
      <c r="J10" s="18" t="s">
        <v>147</v>
      </c>
    </row>
    <row r="11" ht="60" customHeight="1" spans="1:10">
      <c r="A11" s="16">
        <v>8</v>
      </c>
      <c r="B11" s="17">
        <v>46297</v>
      </c>
      <c r="C11" s="18" t="s">
        <v>136</v>
      </c>
      <c r="D11" s="18" t="s">
        <v>137</v>
      </c>
      <c r="E11" s="18" t="s">
        <v>138</v>
      </c>
      <c r="F11" s="18" t="s">
        <v>160</v>
      </c>
      <c r="G11" s="18" t="s">
        <v>161</v>
      </c>
      <c r="H11" s="18" t="s">
        <v>162</v>
      </c>
      <c r="I11" s="18" t="s">
        <v>142</v>
      </c>
      <c r="J11" s="18" t="s">
        <v>143</v>
      </c>
    </row>
    <row r="12" ht="60" customHeight="1" spans="1:10">
      <c r="A12" s="16">
        <v>9</v>
      </c>
      <c r="B12" s="17">
        <v>46297</v>
      </c>
      <c r="C12" s="18" t="s">
        <v>136</v>
      </c>
      <c r="D12" s="18" t="s">
        <v>137</v>
      </c>
      <c r="E12" s="18" t="s">
        <v>138</v>
      </c>
      <c r="F12" s="18" t="s">
        <v>163</v>
      </c>
      <c r="G12" s="18" t="s">
        <v>164</v>
      </c>
      <c r="H12" s="18" t="s">
        <v>165</v>
      </c>
      <c r="I12" s="18" t="s">
        <v>142</v>
      </c>
      <c r="J12" s="18" t="s">
        <v>147</v>
      </c>
    </row>
    <row r="13" ht="60" customHeight="1" spans="1:10">
      <c r="A13" s="16">
        <v>10</v>
      </c>
      <c r="B13" s="17">
        <v>46297</v>
      </c>
      <c r="C13" s="18" t="s">
        <v>136</v>
      </c>
      <c r="D13" s="18" t="s">
        <v>137</v>
      </c>
      <c r="E13" s="18" t="s">
        <v>138</v>
      </c>
      <c r="F13" s="18" t="s">
        <v>166</v>
      </c>
      <c r="G13" s="18" t="s">
        <v>167</v>
      </c>
      <c r="H13" s="18" t="s">
        <v>168</v>
      </c>
      <c r="I13" s="18" t="s">
        <v>142</v>
      </c>
      <c r="J13" s="18" t="s">
        <v>147</v>
      </c>
    </row>
    <row r="14" ht="60" customHeight="1" spans="1:10">
      <c r="A14" s="16">
        <v>11</v>
      </c>
      <c r="B14" s="17">
        <v>46297</v>
      </c>
      <c r="C14" s="18" t="s">
        <v>136</v>
      </c>
      <c r="D14" s="18" t="s">
        <v>137</v>
      </c>
      <c r="E14" s="18" t="s">
        <v>138</v>
      </c>
      <c r="F14" s="18" t="s">
        <v>169</v>
      </c>
      <c r="G14" s="18" t="s">
        <v>170</v>
      </c>
      <c r="H14" s="18" t="s">
        <v>171</v>
      </c>
      <c r="I14" s="18" t="s">
        <v>142</v>
      </c>
      <c r="J14" s="18" t="s">
        <v>147</v>
      </c>
    </row>
    <row r="15" ht="60" customHeight="1" spans="1:10">
      <c r="A15" s="16">
        <v>12</v>
      </c>
      <c r="B15" s="17">
        <v>46297</v>
      </c>
      <c r="C15" s="18" t="s">
        <v>136</v>
      </c>
      <c r="D15" s="18" t="s">
        <v>137</v>
      </c>
      <c r="E15" s="18" t="s">
        <v>172</v>
      </c>
      <c r="F15" s="18" t="s">
        <v>173</v>
      </c>
      <c r="G15" s="18" t="s">
        <v>174</v>
      </c>
      <c r="H15" s="18" t="s">
        <v>175</v>
      </c>
      <c r="I15" s="18" t="s">
        <v>142</v>
      </c>
      <c r="J15" s="18" t="s">
        <v>147</v>
      </c>
    </row>
    <row r="16" ht="60" customHeight="1" spans="1:10">
      <c r="A16" s="16">
        <v>13</v>
      </c>
      <c r="B16" s="17">
        <v>46297</v>
      </c>
      <c r="C16" s="18" t="s">
        <v>136</v>
      </c>
      <c r="D16" s="18" t="s">
        <v>137</v>
      </c>
      <c r="E16" s="18" t="s">
        <v>172</v>
      </c>
      <c r="F16" s="18" t="s">
        <v>176</v>
      </c>
      <c r="G16" s="18" t="s">
        <v>177</v>
      </c>
      <c r="H16" s="18" t="s">
        <v>178</v>
      </c>
      <c r="I16" s="18" t="s">
        <v>142</v>
      </c>
      <c r="J16" s="18" t="s">
        <v>147</v>
      </c>
    </row>
    <row r="17" ht="45" customHeight="1" spans="1:10">
      <c r="A17" s="16">
        <v>14</v>
      </c>
      <c r="B17" s="17">
        <v>46297</v>
      </c>
      <c r="C17" s="18" t="s">
        <v>136</v>
      </c>
      <c r="D17" s="18" t="s">
        <v>137</v>
      </c>
      <c r="E17" s="18" t="s">
        <v>172</v>
      </c>
      <c r="F17" s="18" t="s">
        <v>179</v>
      </c>
      <c r="G17" s="18" t="s">
        <v>180</v>
      </c>
      <c r="H17" s="18" t="s">
        <v>181</v>
      </c>
      <c r="I17" s="18" t="s">
        <v>142</v>
      </c>
      <c r="J17" s="18" t="s">
        <v>147</v>
      </c>
    </row>
    <row r="18" ht="60" customHeight="1" spans="1:10">
      <c r="A18" s="16">
        <v>15</v>
      </c>
      <c r="B18" s="17">
        <v>46297</v>
      </c>
      <c r="C18" s="18" t="s">
        <v>136</v>
      </c>
      <c r="D18" s="18" t="s">
        <v>137</v>
      </c>
      <c r="E18" s="18" t="s">
        <v>172</v>
      </c>
      <c r="F18" s="18" t="s">
        <v>182</v>
      </c>
      <c r="G18" s="18" t="s">
        <v>183</v>
      </c>
      <c r="H18" s="18" t="s">
        <v>184</v>
      </c>
      <c r="I18" s="18" t="s">
        <v>142</v>
      </c>
      <c r="J18" s="18" t="s">
        <v>147</v>
      </c>
    </row>
    <row r="19" ht="15" customHeight="1" spans="1:10">
      <c r="A19" s="16">
        <v>16</v>
      </c>
      <c r="B19" s="17"/>
      <c r="C19" s="18"/>
      <c r="D19" s="18"/>
      <c r="E19" s="18"/>
      <c r="F19" s="18"/>
      <c r="G19" s="18"/>
      <c r="H19" s="18"/>
      <c r="I19" s="18"/>
      <c r="J19" s="18"/>
    </row>
    <row r="20" ht="15" customHeight="1" spans="1:10">
      <c r="A20" s="16">
        <v>17</v>
      </c>
      <c r="B20" s="17"/>
      <c r="C20" s="18"/>
      <c r="D20" s="18"/>
      <c r="E20" s="18"/>
      <c r="F20" s="18"/>
      <c r="G20" s="18"/>
      <c r="H20" s="18"/>
      <c r="I20" s="18"/>
      <c r="J20" s="18"/>
    </row>
    <row r="21" ht="15" customHeight="1" spans="1:10">
      <c r="A21" s="16">
        <v>18</v>
      </c>
      <c r="B21" s="17"/>
      <c r="C21" s="18"/>
      <c r="D21" s="18"/>
      <c r="E21" s="18"/>
      <c r="F21" s="18"/>
      <c r="G21" s="18"/>
      <c r="H21" s="18"/>
      <c r="I21" s="18"/>
      <c r="J21" s="18"/>
    </row>
    <row r="22" ht="15" customHeight="1" spans="1:10">
      <c r="A22" s="16">
        <v>19</v>
      </c>
      <c r="B22" s="17"/>
      <c r="C22" s="18"/>
      <c r="D22" s="18"/>
      <c r="E22" s="18"/>
      <c r="F22" s="18"/>
      <c r="G22" s="18"/>
      <c r="H22" s="18"/>
      <c r="I22" s="18"/>
      <c r="J22" s="18"/>
    </row>
    <row r="23" ht="15" customHeight="1" spans="1:10">
      <c r="A23" s="16">
        <v>20</v>
      </c>
      <c r="B23" s="17"/>
      <c r="C23" s="18"/>
      <c r="D23" s="18"/>
      <c r="E23" s="18"/>
      <c r="F23" s="18"/>
      <c r="G23" s="18"/>
      <c r="H23" s="18"/>
      <c r="I23" s="18"/>
      <c r="J23" s="18"/>
    </row>
    <row r="24" ht="15" customHeight="1" spans="1:10">
      <c r="A24" s="16">
        <v>21</v>
      </c>
      <c r="B24" s="17"/>
      <c r="C24" s="18"/>
      <c r="D24" s="18"/>
      <c r="E24" s="18"/>
      <c r="F24" s="18"/>
      <c r="G24" s="18"/>
      <c r="H24" s="18"/>
      <c r="I24" s="18"/>
      <c r="J24" s="18"/>
    </row>
    <row r="25" ht="15" customHeight="1" spans="1:10">
      <c r="A25" s="16">
        <v>22</v>
      </c>
      <c r="B25" s="17"/>
      <c r="C25" s="18"/>
      <c r="D25" s="18"/>
      <c r="E25" s="18"/>
      <c r="F25" s="18"/>
      <c r="G25" s="18"/>
      <c r="H25" s="18"/>
      <c r="I25" s="18"/>
      <c r="J25" s="18"/>
    </row>
    <row r="26" ht="15" customHeight="1" spans="1:10">
      <c r="A26" s="16">
        <v>23</v>
      </c>
      <c r="B26" s="17"/>
      <c r="C26" s="18"/>
      <c r="D26" s="18"/>
      <c r="E26" s="18"/>
      <c r="F26" s="18"/>
      <c r="G26" s="18"/>
      <c r="H26" s="18"/>
      <c r="I26" s="18"/>
      <c r="J26" s="18"/>
    </row>
    <row r="27" ht="15" customHeight="1" spans="1:10">
      <c r="A27" s="16">
        <v>24</v>
      </c>
      <c r="B27" s="17"/>
      <c r="C27" s="18"/>
      <c r="D27" s="18"/>
      <c r="E27" s="18"/>
      <c r="F27" s="18"/>
      <c r="G27" s="18"/>
      <c r="H27" s="18"/>
      <c r="I27" s="18"/>
      <c r="J27" s="18"/>
    </row>
    <row r="28" ht="15" customHeight="1" spans="1:10">
      <c r="A28" s="16">
        <v>25</v>
      </c>
      <c r="B28" s="17"/>
      <c r="C28" s="18"/>
      <c r="D28" s="18"/>
      <c r="E28" s="18"/>
      <c r="F28" s="18"/>
      <c r="G28" s="18"/>
      <c r="H28" s="18"/>
      <c r="I28" s="18"/>
      <c r="J28" s="18"/>
    </row>
    <row r="29" ht="15" customHeight="1" spans="1:10">
      <c r="A29" s="16">
        <v>26</v>
      </c>
      <c r="B29" s="17"/>
      <c r="C29" s="18"/>
      <c r="D29" s="18"/>
      <c r="E29" s="18"/>
      <c r="F29" s="18"/>
      <c r="G29" s="18"/>
      <c r="H29" s="18"/>
      <c r="I29" s="18"/>
      <c r="J29" s="18"/>
    </row>
  </sheetData>
  <dataValidations count="1">
    <dataValidation type="list" allowBlank="1" sqref="I5:I29">
      <formula1>"Kept,Rejected,Partly kept"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topLeftCell="A19" workbookViewId="0">
      <selection activeCell="H31" sqref="H31"/>
    </sheetView>
  </sheetViews>
  <sheetFormatPr defaultColWidth="9.14285714285714" defaultRowHeight="15" outlineLevelCol="5"/>
  <cols>
    <col min="1" max="1" width="22.5714285714286" style="2" customWidth="1"/>
    <col min="2" max="2" width="15" style="2" customWidth="1"/>
    <col min="3" max="3" width="15.8571428571429" style="2" customWidth="1"/>
    <col min="4" max="4" width="17.8571428571429" style="2" customWidth="1"/>
    <col min="5" max="5" width="25" style="2" customWidth="1"/>
    <col min="6" max="6" width="18.1428571428571" style="2" customWidth="1"/>
    <col min="7" max="16384" width="9.14285714285714" style="2" customWidth="1"/>
  </cols>
  <sheetData>
    <row r="1" s="1" customFormat="1" spans="1:3">
      <c r="A1" s="4" t="s">
        <v>185</v>
      </c>
      <c r="B1" s="4" t="s">
        <v>186</v>
      </c>
    </row>
    <row r="2" s="2" customFormat="1" spans="1:3">
      <c r="A2" s="5" t="s">
        <v>187</v>
      </c>
      <c r="B2" s="6">
        <f>SUM('Store Daily'!E:E)</f>
        <v>1322621</v>
      </c>
    </row>
    <row r="3" s="2" customFormat="1" spans="1:3">
      <c r="A3" s="5" t="s">
        <v>188</v>
      </c>
      <c r="B3" s="6">
        <f>SUM('Store Daily'!F:F)</f>
        <v>246761</v>
      </c>
    </row>
    <row r="4" s="2" customFormat="1" spans="1:3">
      <c r="A4" s="5" t="s">
        <v>189</v>
      </c>
      <c r="B4" s="6">
        <f>SUM('Store Daily'!G:G)</f>
        <v>346552324</v>
      </c>
    </row>
    <row r="5" s="3" customFormat="1" spans="1:3">
      <c r="A5" s="7" t="s">
        <v>190</v>
      </c>
      <c r="B5" s="7">
        <f>B3/B2</f>
        <v>0.186569697592886</v>
      </c>
    </row>
    <row r="6" s="2" customFormat="1" spans="1:3">
      <c r="A6" s="5" t="s">
        <v>191</v>
      </c>
      <c r="B6" s="6">
        <f>B4/B3</f>
        <v>1404.40476412399</v>
      </c>
    </row>
    <row r="7" s="2" customFormat="1" spans="1:3">
      <c r="A7" s="5" t="s">
        <v>192</v>
      </c>
      <c r="B7" s="6">
        <f>AVERAGE('Store Daily'!H:H)</f>
        <v>6.47277777777778</v>
      </c>
    </row>
    <row r="10" s="1" customFormat="1" spans="1:3">
      <c r="A10" s="4" t="s">
        <v>193</v>
      </c>
      <c r="B10" s="4" t="s">
        <v>194</v>
      </c>
      <c r="C10" s="4" t="s">
        <v>195</v>
      </c>
    </row>
    <row r="11" s="2" customFormat="1" spans="1:3">
      <c r="A11" s="5" t="s">
        <v>196</v>
      </c>
      <c r="B11" s="6">
        <f>AVERAGEIF('Store Daily'!N:N,"Weekday",'Store Daily'!E:E)</f>
        <v>651.624031007752</v>
      </c>
      <c r="C11" s="6">
        <f>AVERAGEIF('Store Daily'!N:N,"Weekend",'Store Daily'!E:E)</f>
        <v>945.149019607843</v>
      </c>
    </row>
    <row r="12" s="2" customFormat="1" spans="1:3">
      <c r="A12" s="5" t="s">
        <v>197</v>
      </c>
      <c r="B12" s="6">
        <f>AVERAGEIF('Store Daily'!N:N,"Weekday",'Store Daily'!F:F)</f>
        <v>121.296899224806</v>
      </c>
      <c r="C12" s="6">
        <f>AVERAGEIF('Store Daily'!N:N,"Weekend",'Store Daily'!F:F)</f>
        <v>177.035294117647</v>
      </c>
    </row>
    <row r="13" s="2" customFormat="1" spans="1:3">
      <c r="A13" s="5" t="s">
        <v>198</v>
      </c>
      <c r="B13" s="6">
        <f>AVERAGEIF('Store Daily'!N:N,"Weekday",'Store Daily'!G:G)</f>
        <v>169866.443410853</v>
      </c>
      <c r="C13" s="6">
        <f>AVERAGEIF('Store Daily'!N:N,"Weekend",'Store Daily'!G:G)</f>
        <v>249852.180392157</v>
      </c>
    </row>
    <row r="14" s="2" customFormat="1" spans="1:3">
      <c r="A14" s="5" t="s">
        <v>199</v>
      </c>
      <c r="B14" s="7">
        <f>AVERAGEIF('Store Daily'!N:N,"Weekday",'Store Daily'!J:J)</f>
        <v>0.187656586490089</v>
      </c>
      <c r="C14" s="7">
        <f>AVERAGEIF('Store Daily'!N:N,"Weekend",'Store Daily'!J:J)</f>
        <v>0.188232373999207</v>
      </c>
    </row>
    <row r="15" s="2" customFormat="1" spans="1:3">
      <c r="A15" s="5" t="s">
        <v>72</v>
      </c>
      <c r="B15" s="6">
        <f>AVERAGEIF('Store Daily'!N:N,"Weekday",'Store Daily'!K:K)</f>
        <v>1396.80686418411</v>
      </c>
      <c r="C15" s="6">
        <f>AVERAGEIF('Store Daily'!N:N,"Weekend",'Store Daily'!K:K)</f>
        <v>1412.07593000144</v>
      </c>
    </row>
    <row r="18" s="2" customFormat="1" spans="1:6">
      <c r="A18" s="4" t="s">
        <v>193</v>
      </c>
      <c r="B18" s="4" t="s">
        <v>200</v>
      </c>
      <c r="C18" s="4" t="s">
        <v>201</v>
      </c>
    </row>
    <row r="19" s="2" customFormat="1" spans="1:6">
      <c r="A19" s="5" t="s">
        <v>196</v>
      </c>
      <c r="B19" s="6">
        <f>AVERAGEIF('Store Daily'!I:I,"No",'Store Daily'!E:E)</f>
        <v>730.578706727629</v>
      </c>
      <c r="C19" s="6">
        <f>AVERAGEIF('Store Daily'!I:I,"Yes",'Store Daily'!E:E)</f>
        <v>758.754646840149</v>
      </c>
    </row>
    <row r="20" s="2" customFormat="1" spans="1:6">
      <c r="A20" s="5" t="s">
        <v>197</v>
      </c>
      <c r="B20" s="6">
        <f>AVERAGEIF('Store Daily'!I:I,"No",'Store Daily'!F:F)</f>
        <v>136.165251469628</v>
      </c>
      <c r="C20" s="6">
        <f>AVERAGEIF('Store Daily'!I:I,"Yes",'Store Daily'!F:F)</f>
        <v>142.349442379182</v>
      </c>
    </row>
    <row r="21" s="2" customFormat="1" spans="1:6">
      <c r="A21" s="5" t="s">
        <v>198</v>
      </c>
      <c r="B21" s="6">
        <f>AVERAGEIF('Store Daily'!I:I,"No",'Store Daily'!G:G)</f>
        <v>191055.711952972</v>
      </c>
      <c r="C21" s="6">
        <f>AVERAGEIF('Store Daily'!I:I,"Yes",'Store Daily'!G:G)</f>
        <v>200914.605947955</v>
      </c>
    </row>
    <row r="22" s="2" customFormat="1" spans="1:6">
      <c r="A22" s="5" t="s">
        <v>199</v>
      </c>
      <c r="B22" s="7">
        <f>AVERAGEIF('Store Daily'!I:I,"No",'Store Daily'!J:J)</f>
        <v>0.18766899189969</v>
      </c>
      <c r="C22" s="7">
        <f>AVERAGEIF('Store Daily'!I:I,"Yes",'Store Daily'!J:J)</f>
        <v>0.188677623469836</v>
      </c>
    </row>
    <row r="23" s="2" customFormat="1" spans="1:6">
      <c r="A23" s="5" t="s">
        <v>72</v>
      </c>
      <c r="B23" s="6">
        <f>AVERAGEIF('Store Daily'!I:I,"No",'Store Daily'!K:K)</f>
        <v>1399.02014412698</v>
      </c>
      <c r="C23" s="6">
        <f>AVERAGEIF('Store Daily'!I:I,"Yes",'Store Daily'!K:K)</f>
        <v>1413.15887895852</v>
      </c>
    </row>
    <row r="26" s="1" customFormat="1" spans="1:6">
      <c r="A26" s="4" t="s">
        <v>202</v>
      </c>
      <c r="B26" s="4" t="s">
        <v>203</v>
      </c>
      <c r="C26" s="4" t="s">
        <v>204</v>
      </c>
      <c r="D26" s="4" t="s">
        <v>74</v>
      </c>
      <c r="E26" s="8" t="s">
        <v>205</v>
      </c>
      <c r="F26" s="8" t="s">
        <v>206</v>
      </c>
    </row>
    <row r="27" s="2" customFormat="1" spans="1:6">
      <c r="A27" s="5" t="s">
        <v>76</v>
      </c>
      <c r="B27" s="6">
        <f>AVERAGEIF('Store Daily'!B:B,A27,'Store Daily'!E:E)</f>
        <v>912.005555555556</v>
      </c>
      <c r="C27" s="6">
        <f>AVERAGEIF('Store Daily'!B:B,A27,'Store Daily'!H:H)</f>
        <v>6.35</v>
      </c>
      <c r="D27" s="6">
        <f t="shared" ref="D27:D36" si="0">B27/C27</f>
        <v>143.622922134733</v>
      </c>
      <c r="E27" s="9" t="str">
        <f t="shared" ref="E27:E36" si="1">IF(D27&gt;123,"Potentially Under-staffed",IF(D27&lt;100.58,"Potentially Over-staffed","Balanced"))</f>
        <v>Potentially Under-staffed</v>
      </c>
      <c r="F27" s="10">
        <f>AVERAGEIF('Store Daily'!B:B,A27,'Store Daily'!L:L)</f>
        <v>41505.5108024692</v>
      </c>
    </row>
    <row r="28" s="2" customFormat="1" spans="1:6">
      <c r="A28" s="5" t="s">
        <v>82</v>
      </c>
      <c r="B28" s="6">
        <f>AVERAGEIF('Store Daily'!B:B,A28,'Store Daily'!E:E)</f>
        <v>814.355555555556</v>
      </c>
      <c r="C28" s="6">
        <f>AVERAGEIF('Store Daily'!B:B,A28,'Store Daily'!H:H)</f>
        <v>6.44444444444444</v>
      </c>
      <c r="D28" s="6">
        <f t="shared" si="0"/>
        <v>126.365517241379</v>
      </c>
      <c r="E28" s="9" t="str">
        <f t="shared" si="1"/>
        <v>Potentially Under-staffed</v>
      </c>
      <c r="F28" s="10">
        <f>AVERAGEIF('Store Daily'!B:B,A28,'Store Daily'!L:L)</f>
        <v>30940.9133311287</v>
      </c>
    </row>
    <row r="29" s="2" customFormat="1" spans="1:6">
      <c r="A29" s="5" t="s">
        <v>84</v>
      </c>
      <c r="B29" s="6">
        <f>AVERAGEIF('Store Daily'!B:B,A29,'Store Daily'!E:E)</f>
        <v>760.877777777778</v>
      </c>
      <c r="C29" s="6">
        <f>AVERAGEIF('Store Daily'!B:B,A29,'Store Daily'!H:H)</f>
        <v>6.45555555555556</v>
      </c>
      <c r="D29" s="6">
        <f t="shared" si="0"/>
        <v>117.864027538726</v>
      </c>
      <c r="E29" s="9" t="str">
        <f t="shared" si="1"/>
        <v>Balanced</v>
      </c>
      <c r="F29" s="10">
        <f>AVERAGEIF('Store Daily'!B:B,A29,'Store Daily'!L:L)</f>
        <v>36191.6645789241</v>
      </c>
    </row>
    <row r="30" s="2" customFormat="1" spans="1:6">
      <c r="A30" s="5" t="s">
        <v>86</v>
      </c>
      <c r="B30" s="6">
        <f>AVERAGEIF('Store Daily'!B:B,A30,'Store Daily'!E:E)</f>
        <v>958.8</v>
      </c>
      <c r="C30" s="6">
        <f>AVERAGEIF('Store Daily'!B:B,A30,'Store Daily'!H:H)</f>
        <v>6.46666666666667</v>
      </c>
      <c r="D30" s="6">
        <f t="shared" si="0"/>
        <v>148.268041237113</v>
      </c>
      <c r="E30" s="9" t="str">
        <f t="shared" si="1"/>
        <v>Potentially Under-staffed</v>
      </c>
      <c r="F30" s="10">
        <f>AVERAGEIF('Store Daily'!B:B,A30,'Store Daily'!L:L)</f>
        <v>44966.414111552</v>
      </c>
    </row>
    <row r="31" s="2" customFormat="1" spans="1:6">
      <c r="A31" s="5" t="s">
        <v>88</v>
      </c>
      <c r="B31" s="6">
        <f>AVERAGEIF('Store Daily'!B:B,A31,'Store Daily'!E:E)</f>
        <v>678.866666666667</v>
      </c>
      <c r="C31" s="6">
        <f>AVERAGEIF('Store Daily'!B:B,A31,'Store Daily'!H:H)</f>
        <v>6.68333333333333</v>
      </c>
      <c r="D31" s="6">
        <f t="shared" si="0"/>
        <v>101.576059850374</v>
      </c>
      <c r="E31" s="9" t="str">
        <f t="shared" si="1"/>
        <v>Balanced</v>
      </c>
      <c r="F31" s="10">
        <f>AVERAGEIF('Store Daily'!B:B,A31,'Store Daily'!L:L)</f>
        <v>37663.2929232804</v>
      </c>
    </row>
    <row r="32" s="2" customFormat="1" spans="1:6">
      <c r="A32" s="5" t="s">
        <v>90</v>
      </c>
      <c r="B32" s="6">
        <f>AVERAGEIF('Store Daily'!B:B,A32,'Store Daily'!E:E)</f>
        <v>547.338888888889</v>
      </c>
      <c r="C32" s="6">
        <f>AVERAGEIF('Store Daily'!B:B,A32,'Store Daily'!H:H)</f>
        <v>6.42777777777778</v>
      </c>
      <c r="D32" s="6">
        <f t="shared" si="0"/>
        <v>85.152117545376</v>
      </c>
      <c r="E32" s="9" t="str">
        <f t="shared" si="1"/>
        <v>Potentially Over-staffed</v>
      </c>
      <c r="F32" s="10">
        <f>AVERAGEIF('Store Daily'!B:B,A32,'Store Daily'!L:L)</f>
        <v>16883.7755335097</v>
      </c>
    </row>
    <row r="33" s="2" customFormat="1" spans="1:6">
      <c r="A33" s="5" t="s">
        <v>92</v>
      </c>
      <c r="B33" s="6">
        <f>AVERAGEIF('Store Daily'!B:B,A33,'Store Daily'!E:E)</f>
        <v>686.688888888889</v>
      </c>
      <c r="C33" s="6">
        <f>AVERAGEIF('Store Daily'!B:B,A33,'Store Daily'!H:H)</f>
        <v>6.5</v>
      </c>
      <c r="D33" s="6">
        <f t="shared" si="0"/>
        <v>105.644444444444</v>
      </c>
      <c r="E33" s="9" t="str">
        <f t="shared" si="1"/>
        <v>Balanced</v>
      </c>
      <c r="F33" s="10">
        <f>AVERAGEIF('Store Daily'!B:B,A33,'Store Daily'!L:L)</f>
        <v>32517.3513932981</v>
      </c>
    </row>
    <row r="34" s="2" customFormat="1" spans="1:6">
      <c r="A34" s="5" t="s">
        <v>94</v>
      </c>
      <c r="B34" s="6">
        <f>AVERAGEIF('Store Daily'!B:B,A34,'Store Daily'!E:E)</f>
        <v>510.944444444444</v>
      </c>
      <c r="C34" s="6">
        <f>AVERAGEIF('Store Daily'!B:B,A34,'Store Daily'!H:H)</f>
        <v>6.42777777777778</v>
      </c>
      <c r="D34" s="6">
        <f t="shared" si="0"/>
        <v>79.4900605012965</v>
      </c>
      <c r="E34" s="9" t="str">
        <f t="shared" si="1"/>
        <v>Potentially Over-staffed</v>
      </c>
      <c r="F34" s="10">
        <f>AVERAGEIF('Store Daily'!B:B,A34,'Store Daily'!L:L)</f>
        <v>18679.04079806</v>
      </c>
    </row>
    <row r="35" s="2" customFormat="1" spans="1:6">
      <c r="A35" s="5" t="s">
        <v>96</v>
      </c>
      <c r="B35" s="6">
        <f>AVERAGEIF('Store Daily'!B:B,A35,'Store Daily'!E:E)</f>
        <v>487.961111111111</v>
      </c>
      <c r="C35" s="6">
        <f>AVERAGEIF('Store Daily'!B:B,A35,'Store Daily'!H:H)</f>
        <v>6.44444444444444</v>
      </c>
      <c r="D35" s="6">
        <f t="shared" si="0"/>
        <v>75.7181034482759</v>
      </c>
      <c r="E35" s="9" t="str">
        <f t="shared" si="1"/>
        <v>Potentially Over-staffed</v>
      </c>
      <c r="F35" s="10">
        <f>AVERAGEIF('Store Daily'!B:B,A35,'Store Daily'!L:L)</f>
        <v>26869.1539506173</v>
      </c>
    </row>
    <row r="36" s="2" customFormat="1" spans="1:6">
      <c r="A36" s="5" t="s">
        <v>98</v>
      </c>
      <c r="B36" s="6">
        <f>AVERAGEIF('Store Daily'!B:B,A36,'Store Daily'!E:E)</f>
        <v>990.055555555556</v>
      </c>
      <c r="C36" s="6">
        <f>AVERAGEIF('Store Daily'!B:B,A36,'Store Daily'!H:H)</f>
        <v>6.52777777777778</v>
      </c>
      <c r="D36" s="6">
        <f t="shared" si="0"/>
        <v>151.668085106383</v>
      </c>
      <c r="E36" s="9" t="str">
        <f t="shared" si="1"/>
        <v>Potentially Under-staffed</v>
      </c>
      <c r="F36" s="10">
        <f>AVERAGEIF('Store Daily'!B:B,A36,'Store Daily'!L:L)</f>
        <v>29957.1452910053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Task Brief</vt:lpstr>
      <vt:lpstr>Store Daily</vt:lpstr>
      <vt:lpstr>Data Dictionary</vt:lpstr>
      <vt:lpstr>AI Use Log</vt:lpstr>
      <vt:lpstr>KPI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</cp:lastModifiedBy>
  <cp:revision>0</cp:revision>
  <dcterms:created xsi:type="dcterms:W3CDTF">2026-09-25T16:15:00Z</dcterms:created>
  <dcterms:modified xsi:type="dcterms:W3CDTF">2026-10-03T13:16:26Z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EE68724295044DEDB929FD55CF219246_12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